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" sheetId="1" r:id="rId5"/>
    <sheet state="visible" name="Industry" sheetId="2" r:id="rId6"/>
    <sheet state="visible" name="Final_Concerns" sheetId="3" r:id="rId7"/>
  </sheets>
  <definedNames/>
  <calcPr/>
</workbook>
</file>

<file path=xl/sharedStrings.xml><?xml version="1.0" encoding="utf-8"?>
<sst xmlns="http://schemas.openxmlformats.org/spreadsheetml/2006/main" count="426" uniqueCount="263">
  <si>
    <t>Concern</t>
  </si>
  <si>
    <t>Total</t>
  </si>
  <si>
    <t>Transparency</t>
  </si>
  <si>
    <t>Systematic Mapping</t>
  </si>
  <si>
    <t>What are the main ethical issues discussed?</t>
  </si>
  <si>
    <t>Security</t>
  </si>
  <si>
    <t>Reliability</t>
  </si>
  <si>
    <t>Compliance</t>
  </si>
  <si>
    <t>Encryption</t>
  </si>
  <si>
    <t>Informed Consent</t>
  </si>
  <si>
    <t>Study</t>
  </si>
  <si>
    <t>Accountability</t>
  </si>
  <si>
    <t>Industry concerns reported</t>
  </si>
  <si>
    <t>Ethical Issue</t>
  </si>
  <si>
    <t>Safety</t>
  </si>
  <si>
    <t>Total per Issue</t>
  </si>
  <si>
    <t>Caption</t>
  </si>
  <si>
    <t>Privacy</t>
  </si>
  <si>
    <t>Traceability</t>
  </si>
  <si>
    <t>Integrity</t>
  </si>
  <si>
    <t>This workbook classifies reported ethical concerns from multilingual answers normalized to English canonical concerns.</t>
  </si>
  <si>
    <t>S6, S7, S11, S13, S14, S16, S17, S19, S22, S23, S24, S25, S30, S31, S33, S34, S39, S40, S41, S42, S43, S44, S51, S53, S59, S61, S66</t>
  </si>
  <si>
    <t>Explainability</t>
  </si>
  <si>
    <t>Data Issues</t>
  </si>
  <si>
    <t>Prevention of Harm/Do no Harm</t>
  </si>
  <si>
    <t>Technical Robustness</t>
  </si>
  <si>
    <r>
      <rPr>
        <rFont val="Calibri"/>
        <b/>
        <color rgb="FF000000"/>
        <sz val="11.0"/>
      </rPr>
      <t xml:space="preserve">S13, S14, S15, S16, S17, S18, S24, S25, S26, S30, S31, S34, S35, S37, S39, S40, S43, S45, S51, S54, </t>
    </r>
    <r>
      <rPr>
        <rFont val="Calibri"/>
        <b/>
        <color rgb="FF000000"/>
        <sz val="11.0"/>
      </rPr>
      <t>S59</t>
    </r>
  </si>
  <si>
    <t>Accuracy</t>
  </si>
  <si>
    <t>Fairness</t>
  </si>
  <si>
    <t>Social Issues</t>
  </si>
  <si>
    <t>Source IDs</t>
  </si>
  <si>
    <t>Count</t>
  </si>
  <si>
    <t>Matched raw variant(s)</t>
  </si>
  <si>
    <t>Utility</t>
  </si>
  <si>
    <t>Diversity</t>
  </si>
  <si>
    <t>S3, S6, S7, S8, S9, S13, S15, S17, S23, S25, S26, S30, S40, S42, S43, S51, S54, S58, S59, S66</t>
  </si>
  <si>
    <t>1, 3, 5, 6, 8, 10, 22, 25, 28, 29, 30, 32, 34, 36, 39, 44, 46, 47, 50, 52, 53, 55, 56, 57, 58, 59, 60, 66, 69, 70, 72, 73, 74, 79, 80, 82, 84, 85, 90, 93, 94, 97, 98, 99, 102, 107, 108, 109, 110, 112</t>
  </si>
  <si>
    <t>Sustainability</t>
  </si>
  <si>
    <t>Technical Issues</t>
  </si>
  <si>
    <t>Security; Segurança; Segurança da informação; Sicurezza</t>
  </si>
  <si>
    <t>Equality</t>
  </si>
  <si>
    <t>S13, S15, S16, S17, S19, S23, S25, S26, S30, S34, S37, S39, S40, S43, S45, S52, S59</t>
  </si>
  <si>
    <t>Non-Maleficence</t>
  </si>
  <si>
    <t>Professional Issues</t>
  </si>
  <si>
    <t>6, 7, 8, 13, 14, 15, 16, 17, 19, 22, 23, 24, 25, 30, 35, 37, 42, 47, 48, 49, 50, 53, 54, 55, 57, 60, 64, 67, 70, 74, 76, 79, 80, 82, 84, 85, 87, 90, 91, 92, 94, 97, 102, 107</t>
  </si>
  <si>
    <t>Transparência; transparência; Transparencia; Transparency; Trasparenza</t>
  </si>
  <si>
    <t>Bias</t>
  </si>
  <si>
    <r>
      <rPr>
        <rFont val="Calibri"/>
        <b/>
        <color rgb="FF000000"/>
        <sz val="11.0"/>
      </rPr>
      <t xml:space="preserve">S8, S19, S23, S25, S26, S30, S31, S40, S45, S54, </t>
    </r>
    <r>
      <rPr>
        <rFont val="Calibri"/>
        <b/>
        <color rgb="FF000000"/>
        <sz val="11.0"/>
      </rPr>
      <t>S59</t>
    </r>
  </si>
  <si>
    <t>Justice</t>
  </si>
  <si>
    <t>1, 8, 10, 13, 22, 23, 28, 30, 32, 34, 35, 36, 46, 47, 49, 52, 54, 58, 60, 61, 63, 64, 67, 70, 72, 79, 80, 82, 84, 85, 87, 93, 94, 97, 99, 102, 107, 108, 112, 113</t>
  </si>
  <si>
    <t>Malicious Cases</t>
  </si>
  <si>
    <t>Solidarity</t>
  </si>
  <si>
    <t>Confiabilidade; Reliability</t>
  </si>
  <si>
    <t>Dignity</t>
  </si>
  <si>
    <t>1, 2, 3, 7, 8, 10, 15, 22, 25, 29, 30, 32, 35, 38, 42, 44, 49, 50, 53, 54, 58, 60, 64, 66, 67, 70, 72, 74, 76, 79, 80, 82, 84, 90, 94, 97, 100, 102, 107</t>
  </si>
  <si>
    <t>Compliance; Conformidade</t>
  </si>
  <si>
    <r>
      <rPr>
        <rFont val="Calibri"/>
        <b/>
        <color rgb="FF000000"/>
        <sz val="11.0"/>
      </rPr>
      <t xml:space="preserve">S19, S23, S24, S26, S30, S33, S34, S39, S43, </t>
    </r>
    <r>
      <rPr>
        <rFont val="Calibri"/>
        <b/>
        <color rgb="FF000000"/>
        <sz val="11.0"/>
      </rPr>
      <t>S59</t>
    </r>
  </si>
  <si>
    <t>Explicability</t>
  </si>
  <si>
    <t>Philosophycal Issues</t>
  </si>
  <si>
    <t>Equity</t>
  </si>
  <si>
    <t>1, 3, 12, 13, 15, 21, 22, 25, 26, 30, 32, 39, 46, 48, 49, 50, 52, 53, 59, 60, 63, 66, 70, 74, 79, 83, 84, 87, 90, 93, 94, 97, 98, 99, 101, 107, 108, 110</t>
  </si>
  <si>
    <t>Criptografia; Encryption</t>
  </si>
  <si>
    <t>Participation</t>
  </si>
  <si>
    <r>
      <rPr>
        <rFont val="Calibri"/>
        <b/>
        <color rgb="FF000000"/>
        <sz val="11.0"/>
      </rPr>
      <t xml:space="preserve">S19, S24, S25, S26, S30, S34, S41, S53, </t>
    </r>
    <r>
      <rPr>
        <rFont val="Calibri"/>
        <b/>
        <color rgb="FF000000"/>
        <sz val="11.0"/>
      </rPr>
      <t>S66</t>
    </r>
  </si>
  <si>
    <t>2, 3, 4, 8, 12, 14, 15, 16, 22, 25, 29, 30, 31, 37, 43, 49, 50, 53, 55, 56, 57, 60, 61, 63, 66, 84, 85, 86, 87, 94, 98, 107, 108, 110</t>
  </si>
  <si>
    <t>Consentimento; Consentimento informado; Informed Consent</t>
  </si>
  <si>
    <t>Governance Issues</t>
  </si>
  <si>
    <t>Autonomy</t>
  </si>
  <si>
    <t>1, 8, 23, 25, 29, 30, 31, 32, 34, 36, 42, 44, 47, 49, 54, 57, 59, 60, 64, 67, 72, 74, 82, 84, 85, 87, 91, 93, 94, 97, 100, 107</t>
  </si>
  <si>
    <t>Integridade; Integrity</t>
  </si>
  <si>
    <t>S20, S30, S33, S42, S46 ,S51, S54</t>
  </si>
  <si>
    <t>Non-Discrimination</t>
  </si>
  <si>
    <t>6, 16, 23, 24, 28, 34, 50, 52, 53, 57, 58, 60, 61, 63, 66, 70, 74, 76, 79, 84, 85, 90, 91, 93, 94, 97, 98, 100, 107, 113</t>
  </si>
  <si>
    <t>Responsibility</t>
  </si>
  <si>
    <t>Rastreabilidade; Tracciabilità; Traceability</t>
  </si>
  <si>
    <t>Plurality</t>
  </si>
  <si>
    <r>
      <rPr>
        <rFont val="Calibri"/>
        <b/>
        <color rgb="FF000000"/>
        <sz val="11.0"/>
      </rPr>
      <t xml:space="preserve">S16, S19, S25, S26, S41, S51, </t>
    </r>
    <r>
      <rPr>
        <rFont val="Calibri"/>
        <b/>
        <color rgb="FF000000"/>
        <sz val="11.0"/>
      </rPr>
      <t>S65</t>
    </r>
  </si>
  <si>
    <t>Prevention of Harm</t>
  </si>
  <si>
    <t>1, 4, 8, 15, 16, 24, 28, 31, 35, 38, 47, 50, 55, 57, 60, 70, 80, 82, 84, 85, 90, 93, 94, 97, 102, 107</t>
  </si>
  <si>
    <t>Dependability</t>
  </si>
  <si>
    <t>Prevenção de danos; Prevention of Harm</t>
  </si>
  <si>
    <r>
      <rPr>
        <rFont val="Calibri"/>
        <b/>
        <color rgb="FF000000"/>
        <sz val="11.0"/>
      </rPr>
      <t xml:space="preserve">S7, S13, S14, S17, S19, S43, </t>
    </r>
    <r>
      <rPr>
        <rFont val="Calibri"/>
        <b/>
        <color rgb="FF000000"/>
        <sz val="11.0"/>
      </rPr>
      <t>S58</t>
    </r>
  </si>
  <si>
    <t>Accessibility</t>
  </si>
  <si>
    <t>1, 15, 16, 21, 24, 25, 30, 31, 38, 44, 47, 54, 56, 57, 60, 72, 79, 80, 82, 84, 91, 93, 94, 97, 107</t>
  </si>
  <si>
    <t>Unemployment</t>
  </si>
  <si>
    <t>S9, S19, S20, S43, S46,  S54</t>
  </si>
  <si>
    <t>Accuracy; Acurácia; Exatidão</t>
  </si>
  <si>
    <t>Well-Being/Welfare</t>
  </si>
  <si>
    <t>Trust</t>
  </si>
  <si>
    <t>Robustness</t>
  </si>
  <si>
    <t>S14, S15, S25, S26, S37, S51</t>
  </si>
  <si>
    <t>6, 23, 28, 30, 31, 32, 35, 38, 47, 52, 54, 57, 63, 70, 79, 80, 84, 85, 90, 93, 94, 97, 99, 107, 113</t>
  </si>
  <si>
    <t>Data Protection</t>
  </si>
  <si>
    <t>Robustez; Robustezza; Robustness</t>
  </si>
  <si>
    <t>Inclusiveness</t>
  </si>
  <si>
    <r>
      <rPr>
        <rFont val="Calibri"/>
        <b/>
        <color rgb="FF000000"/>
        <sz val="11.0"/>
      </rPr>
      <t xml:space="preserve">S2, S6, S19, S31, </t>
    </r>
    <r>
      <rPr>
        <rFont val="Calibri"/>
        <b/>
        <color rgb="FF000000"/>
        <sz val="11.0"/>
      </rPr>
      <t>S58</t>
    </r>
    <r>
      <rPr>
        <rFont val="Calibri"/>
        <b/>
        <color rgb="FF000000"/>
        <sz val="11.0"/>
      </rPr>
      <t xml:space="preserve"> </t>
    </r>
  </si>
  <si>
    <t>Beneficence</t>
  </si>
  <si>
    <t>1, 2, 5, 7, 22, 23, 24, 28, 30, 32, 34, 35, 37, 46, 54, 56, 60, 61, 70, 84, 85, 94, 97, 107</t>
  </si>
  <si>
    <t>Data Governance</t>
  </si>
  <si>
    <t>(Safety)Segurança funcional; Safety; Segurança funcional</t>
  </si>
  <si>
    <t>Interpretability</t>
  </si>
  <si>
    <t>Usability</t>
  </si>
  <si>
    <t>S20, S33, S41, S46, S51</t>
  </si>
  <si>
    <t>7, 10, 16, 17, 21, 23, 24, 25, 60, 61, 64, 70, 74, 80, 84, 91, 93, 94, 107</t>
  </si>
  <si>
    <t>Inequality</t>
  </si>
  <si>
    <t>Explainability; Explicabilidade</t>
  </si>
  <si>
    <t>Respect for Human Autonomy</t>
  </si>
  <si>
    <t>S19, S22, S25, S26</t>
  </si>
  <si>
    <t>Contestability</t>
  </si>
  <si>
    <t>Liability</t>
  </si>
  <si>
    <t>Intellectual Properties</t>
  </si>
  <si>
    <t>2, 8, 10, 30, 42, 44, 54, 56, 57, 59, 63, 64, 70, 84, 86, 94, 95, 100</t>
  </si>
  <si>
    <t>Axiology</t>
  </si>
  <si>
    <t>Trustworthiness</t>
  </si>
  <si>
    <t>Utilidade; Utility</t>
  </si>
  <si>
    <t>S9, S19, S23, S43</t>
  </si>
  <si>
    <t>Anonymity</t>
  </si>
  <si>
    <t>Access</t>
  </si>
  <si>
    <t>S25 S39, S42, S43</t>
  </si>
  <si>
    <t>1, 4, 13, 25, 42, 44, 47, 59, 63, 70, 79, 84, 86, 93, 94, 97, 107</t>
  </si>
  <si>
    <t>Common goods</t>
  </si>
  <si>
    <t>Accountability; Prestação de contas</t>
  </si>
  <si>
    <t>Humanity</t>
  </si>
  <si>
    <t>Individual Differences</t>
  </si>
  <si>
    <t>Quality of Life</t>
  </si>
  <si>
    <t>S14, S24, S30, S51</t>
  </si>
  <si>
    <t>Retention and Addiction</t>
  </si>
  <si>
    <t>Social Justice Issues</t>
  </si>
  <si>
    <t>8, 10, 34, 37, 48, 58, 61, 63, 64, 73, 84, 85, 86, 94, 97, 100</t>
  </si>
  <si>
    <t>Diversidade; Diversity</t>
  </si>
  <si>
    <t>Understandability</t>
  </si>
  <si>
    <t>S16, S19, S43</t>
  </si>
  <si>
    <t>Consistency</t>
  </si>
  <si>
    <t>Speech Issues</t>
  </si>
  <si>
    <t>8, 10, 30, 33, 34, 37, 39, 50, 61, 84, 86, 94, 97</t>
  </si>
  <si>
    <t>Equality; Igualdade</t>
  </si>
  <si>
    <t>Authorship</t>
  </si>
  <si>
    <t>Business Ethics</t>
  </si>
  <si>
    <t>S19, S34, S42</t>
  </si>
  <si>
    <t>Commerce</t>
  </si>
  <si>
    <t>Confidentiality</t>
  </si>
  <si>
    <t>Conflict of Interest</t>
  </si>
  <si>
    <t>Context</t>
  </si>
  <si>
    <t>4, 10, 27, 44, 47, 74, 84</t>
  </si>
  <si>
    <t>S20, S46, S51</t>
  </si>
  <si>
    <t>Equidade; Justiça/Equidade</t>
  </si>
  <si>
    <t>Human Agency</t>
  </si>
  <si>
    <t>Oversight</t>
  </si>
  <si>
    <t>Regulatory Approaches</t>
  </si>
  <si>
    <t>Freedom</t>
  </si>
  <si>
    <t>Self-Conception</t>
  </si>
  <si>
    <t>S23, S34, S40</t>
  </si>
  <si>
    <t>Lack of Data</t>
  </si>
  <si>
    <t>7, 12, 15, 16, 44, 53, 57, 80, 93, 97, 108</t>
  </si>
  <si>
    <t>Monetization</t>
  </si>
  <si>
    <t>Sustainability; Sustentabilidade</t>
  </si>
  <si>
    <t>Openness</t>
  </si>
  <si>
    <t>User Data Collection</t>
  </si>
  <si>
    <t>Care</t>
  </si>
  <si>
    <t>Competence</t>
  </si>
  <si>
    <t>Non-maleficence</t>
  </si>
  <si>
    <t>Professional Ethics</t>
  </si>
  <si>
    <t>10, 16, 30, 42, 57, 60, 64, 71, 94, 108</t>
  </si>
  <si>
    <t>Work Ethics</t>
  </si>
  <si>
    <t>Maleficence; Maleficiência; Não maleficência; Non-maleficence</t>
  </si>
  <si>
    <t>Computer Abuse</t>
  </si>
  <si>
    <t>S17, S39, S43</t>
  </si>
  <si>
    <t>Malicious Use</t>
  </si>
  <si>
    <t>Awareness</t>
  </si>
  <si>
    <t>30, 42, 48, 54, 63, 64, 70, 85, 86, 95</t>
  </si>
  <si>
    <t>Solidariedade; Solidarity</t>
  </si>
  <si>
    <t>Cultural Sensitivity</t>
  </si>
  <si>
    <r>
      <rPr>
        <rFont val="Calibri"/>
        <b/>
        <color rgb="FF000000"/>
        <sz val="11.0"/>
      </rPr>
      <t xml:space="preserve">S18, S19, </t>
    </r>
    <r>
      <rPr>
        <rFont val="Calibri"/>
        <b/>
        <color rgb="FF000000"/>
        <sz val="11.0"/>
      </rPr>
      <t>S59</t>
    </r>
  </si>
  <si>
    <t>Data Quality</t>
  </si>
  <si>
    <t>Communication</t>
  </si>
  <si>
    <t>Environmental Impact</t>
  </si>
  <si>
    <t>10, 16, 30, 64, 67, 86, 94, 95</t>
  </si>
  <si>
    <t>Dignidade; Dignity</t>
  </si>
  <si>
    <r>
      <rPr>
        <rFont val="Calibri"/>
        <b/>
        <color rgb="FF000000"/>
        <sz val="11.0"/>
      </rPr>
      <t xml:space="preserve">S25, S26, </t>
    </r>
    <r>
      <rPr>
        <rFont val="Calibri"/>
        <b/>
        <color rgb="FF000000"/>
        <sz val="11.0"/>
      </rPr>
      <t>S66</t>
    </r>
  </si>
  <si>
    <t>Inclusion</t>
  </si>
  <si>
    <t>Observability</t>
  </si>
  <si>
    <t>Protection</t>
  </si>
  <si>
    <t>2, 30, 57, 60, 84, 86, 94, 97</t>
  </si>
  <si>
    <t>Resilience</t>
  </si>
  <si>
    <t>S42, S51</t>
  </si>
  <si>
    <t>Participação; Participation</t>
  </si>
  <si>
    <t>Software Freedom</t>
  </si>
  <si>
    <t>Usefulness</t>
  </si>
  <si>
    <t>Controlled Failure</t>
  </si>
  <si>
    <t>10, 15, 17, 22, 25, 91, 94</t>
  </si>
  <si>
    <t>Análise de viés; Bias; Viés</t>
  </si>
  <si>
    <t>Caption (from)</t>
  </si>
  <si>
    <t>S19, S42</t>
  </si>
  <si>
    <t>Total (94)</t>
  </si>
  <si>
    <t>4, 10, 27, 47, 67, 74, 84</t>
  </si>
  <si>
    <t>Literature+Industry</t>
  </si>
  <si>
    <t>Justiça; Justiça/Equidade</t>
  </si>
  <si>
    <t>S10, S14</t>
  </si>
  <si>
    <t xml:space="preserve">Literature </t>
  </si>
  <si>
    <t>19, 25, 29, 33, 79, 82</t>
  </si>
  <si>
    <t>Privacidade; Privacy</t>
  </si>
  <si>
    <t>Industry</t>
  </si>
  <si>
    <t>S9, S43</t>
  </si>
  <si>
    <t>22, 34, 35, 60, 107</t>
  </si>
  <si>
    <t>S23, S40</t>
  </si>
  <si>
    <t>30, 37, 84, 93, 97</t>
  </si>
  <si>
    <t xml:space="preserve">S7, S19 </t>
  </si>
  <si>
    <t>Pluralidade; Plurality</t>
  </si>
  <si>
    <t>S39, S43</t>
  </si>
  <si>
    <t>37, 49, 53, 63</t>
  </si>
  <si>
    <t>Desemprego/impacto laboral; Unemployment / impact on labor</t>
  </si>
  <si>
    <t>19, 30, 60</t>
  </si>
  <si>
    <t>S7, S11</t>
  </si>
  <si>
    <t>S25, S26</t>
  </si>
  <si>
    <t>60, 91, 107</t>
  </si>
  <si>
    <r>
      <rPr>
        <rFont val="Calibri"/>
        <b/>
        <color rgb="FF000000"/>
        <sz val="11.0"/>
      </rPr>
      <t xml:space="preserve">S22, </t>
    </r>
    <r>
      <rPr>
        <rFont val="Calibri"/>
        <b/>
        <color rgb="FF000000"/>
        <sz val="11.0"/>
      </rPr>
      <t>S59</t>
    </r>
  </si>
  <si>
    <t>25, 82</t>
  </si>
  <si>
    <t>Data protection; proteção de dados</t>
  </si>
  <si>
    <r>
      <rPr>
        <rFont val="Calibri"/>
        <b/>
        <color rgb="FF000000"/>
        <sz val="11.0"/>
      </rPr>
      <t xml:space="preserve">S53, </t>
    </r>
    <r>
      <rPr>
        <rFont val="Calibri"/>
        <b/>
        <color rgb="FF000000"/>
        <sz val="11.0"/>
      </rPr>
      <t>S61</t>
    </r>
  </si>
  <si>
    <t>103</t>
  </si>
  <si>
    <t>Acessibilidade</t>
  </si>
  <si>
    <r>
      <rPr>
        <rFont val="Calibri"/>
        <b/>
        <color rgb="FF000000"/>
        <sz val="11.0"/>
      </rPr>
      <t>S19,</t>
    </r>
    <r>
      <rPr>
        <rFont val="Calibri"/>
        <b/>
        <color rgb="FF000000"/>
        <sz val="11.0"/>
      </rPr>
      <t xml:space="preserve"> S63</t>
    </r>
  </si>
  <si>
    <t>33</t>
  </si>
  <si>
    <r>
      <rPr>
        <rFont val="Calibri"/>
        <b/>
        <color rgb="FF000000"/>
        <sz val="11.0"/>
      </rPr>
      <t xml:space="preserve">S7, </t>
    </r>
    <r>
      <rPr>
        <rFont val="Calibri"/>
        <b/>
        <color rgb="FF000000"/>
        <sz val="11.0"/>
      </rPr>
      <t>S66</t>
    </r>
  </si>
  <si>
    <t>Environmental impact</t>
  </si>
  <si>
    <t>S14</t>
  </si>
  <si>
    <t>Inclusão</t>
  </si>
  <si>
    <t>S16</t>
  </si>
  <si>
    <t>47</t>
  </si>
  <si>
    <t>Observabilidade</t>
  </si>
  <si>
    <t>S19</t>
  </si>
  <si>
    <t>6</t>
  </si>
  <si>
    <t>Protezione</t>
  </si>
  <si>
    <t>S10</t>
  </si>
  <si>
    <t>S18</t>
  </si>
  <si>
    <t>Resiliência</t>
  </si>
  <si>
    <t>S33</t>
  </si>
  <si>
    <t>Software freedom</t>
  </si>
  <si>
    <t>54</t>
  </si>
  <si>
    <t>Usabilidade</t>
  </si>
  <si>
    <t>S22</t>
  </si>
  <si>
    <t>S11</t>
  </si>
  <si>
    <t>50</t>
  </si>
  <si>
    <t>Anonimidade</t>
  </si>
  <si>
    <t>S30</t>
  </si>
  <si>
    <t>Compreensibilidade (Understandability)</t>
  </si>
  <si>
    <t>Falha controlada</t>
  </si>
  <si>
    <t>Final concerns: 44</t>
  </si>
  <si>
    <t>Respondents: 113</t>
  </si>
  <si>
    <t>Concerns reported: 597</t>
  </si>
  <si>
    <t>S23</t>
  </si>
  <si>
    <t>S7</t>
  </si>
  <si>
    <t>S39</t>
  </si>
  <si>
    <t>S51</t>
  </si>
  <si>
    <t>S42</t>
  </si>
  <si>
    <t>S1</t>
  </si>
  <si>
    <t>S25</t>
  </si>
  <si>
    <t>S32</t>
  </si>
  <si>
    <t>S60</t>
  </si>
  <si>
    <t>S66</t>
  </si>
  <si>
    <t>Papers: 66</t>
  </si>
  <si>
    <t>Final concerns: 86</t>
  </si>
  <si>
    <t>Concerns reported: 272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</si>
</sst>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  <scheme val="minor"/>
    </font>
    <font>
      <sz val="12.0"/>
      <color theme="1"/>
      <name val="Calibri"/>
    </font>
    <font>
      <b/>
      <sz val="11.0"/>
      <color theme="1"/>
      <name val="Calibri"/>
    </font>
    <font>
      <b/>
      <sz val="14.0"/>
      <color rgb="FFFFFFFF"/>
      <name val="Carlito"/>
    </font>
    <font>
      <sz val="11.0"/>
      <color theme="1"/>
      <name val="Carlito"/>
    </font>
    <font>
      <i/>
      <color rgb="FF334155"/>
      <name val="Carlito"/>
    </font>
    <font>
      <color theme="1"/>
      <name val="Calibri"/>
    </font>
    <font>
      <b/>
      <color rgb="FFFFFFFF"/>
      <name val="Arial"/>
    </font>
    <font>
      <color theme="1"/>
      <name val="Arial"/>
    </font>
    <font>
      <color rgb="FF000000"/>
      <name val="Arial"/>
    </font>
    <font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66E676"/>
        <bgColor rgb="FF66E676"/>
      </patternFill>
    </fill>
    <fill>
      <patternFill patternType="solid">
        <fgColor rgb="FFF9CB9C"/>
        <bgColor rgb="FFF9CB9C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156082"/>
        <bgColor rgb="FF156082"/>
      </patternFill>
    </fill>
    <fill>
      <patternFill patternType="solid">
        <fgColor rgb="FFF6B26B"/>
        <bgColor rgb="FFF6B26B"/>
      </patternFill>
    </fill>
    <fill>
      <patternFill patternType="solid">
        <fgColor rgb="FFC1E4F5"/>
        <bgColor rgb="FFC1E4F5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</fills>
  <borders count="1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vertical="bottom"/>
    </xf>
    <xf borderId="2" fillId="4" fontId="3" numFmtId="0" xfId="0" applyBorder="1" applyFill="1" applyFont="1"/>
    <xf borderId="3" fillId="5" fontId="4" numFmtId="0" xfId="0" applyAlignment="1" applyBorder="1" applyFill="1" applyFont="1">
      <alignment horizontal="center" readingOrder="0" vertical="bottom"/>
    </xf>
    <xf borderId="4" fillId="0" fontId="5" numFmtId="0" xfId="0" applyBorder="1" applyFont="1"/>
    <xf borderId="2" fillId="0" fontId="6" numFmtId="0" xfId="0" applyAlignment="1" applyBorder="1" applyFont="1">
      <alignment readingOrder="0"/>
    </xf>
    <xf borderId="0" fillId="2" fontId="7" numFmtId="0" xfId="0" applyAlignment="1" applyFill="1" applyFont="1">
      <alignment horizontal="center" shrinkToFit="0" wrapText="1"/>
    </xf>
    <xf borderId="5" fillId="6" fontId="8" numFmtId="0" xfId="0" applyAlignment="1" applyBorder="1" applyFill="1" applyFont="1">
      <alignment horizontal="center" vertical="bottom"/>
    </xf>
    <xf borderId="6" fillId="6" fontId="8" numFmtId="0" xfId="0" applyAlignment="1" applyBorder="1" applyFill="1" applyFont="1">
      <alignment horizontal="center" vertical="bottom"/>
    </xf>
    <xf borderId="7" fillId="6" fontId="8" numFmtId="0" xfId="0" applyAlignment="1" applyBorder="1" applyFill="1" applyFont="1">
      <alignment horizontal="center" vertical="bottom"/>
    </xf>
    <xf borderId="0" fillId="7" fontId="9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8" fillId="0" fontId="8" numFmtId="0" xfId="0" applyAlignment="1" applyBorder="1" applyFont="1">
      <alignment vertical="bottom"/>
    </xf>
    <xf borderId="9" fillId="0" fontId="5" numFmtId="0" xfId="0" applyBorder="1" applyFont="1"/>
    <xf borderId="10" fillId="0" fontId="5" numFmtId="0" xfId="0" applyBorder="1" applyFont="1"/>
    <xf borderId="11" fillId="0" fontId="8" numFmtId="0" xfId="0" applyAlignment="1" applyBorder="1" applyFont="1">
      <alignment vertical="bottom"/>
    </xf>
    <xf borderId="0" fillId="8" fontId="11" numFmtId="0" xfId="0" applyAlignment="1" applyFill="1" applyFont="1">
      <alignment horizontal="center" readingOrder="0" shrinkToFit="0" vertical="top" wrapText="1"/>
    </xf>
    <xf borderId="0" fillId="9" fontId="12" numFmtId="0" xfId="0" applyAlignment="1" applyFill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0" fillId="2" fontId="13" numFmtId="0" xfId="0" applyAlignment="1" applyFill="1" applyFont="1">
      <alignment horizontal="center" shrinkToFit="0" wrapText="1"/>
    </xf>
    <xf borderId="11" fillId="0" fontId="1" numFmtId="0" xfId="0" applyAlignment="1" applyBorder="1" applyFont="1">
      <alignment vertical="bottom"/>
    </xf>
    <xf borderId="12" fillId="9" fontId="1" numFmtId="0" xfId="0" applyAlignment="1" applyBorder="1" applyFill="1" applyFont="1">
      <alignment vertical="bottom"/>
    </xf>
    <xf borderId="0" fillId="2" fontId="10" numFmtId="0" xfId="0" applyAlignment="1" applyFill="1" applyFont="1">
      <alignment vertical="bottom"/>
    </xf>
    <xf borderId="0" fillId="10" fontId="12" numFmtId="0" xfId="0" applyAlignment="1" applyFill="1" applyFont="1">
      <alignment horizontal="center" vertical="bottom"/>
    </xf>
    <xf borderId="0" fillId="11" fontId="13" numFmtId="0" xfId="0" applyAlignment="1" applyFill="1" applyFont="1">
      <alignment horizontal="center" shrinkToFit="0" wrapText="1"/>
    </xf>
    <xf borderId="12" fillId="12" fontId="1" numFmtId="0" xfId="0" applyAlignment="1" applyBorder="1" applyFill="1" applyFont="1">
      <alignment vertical="bottom"/>
    </xf>
    <xf borderId="0" fillId="13" fontId="14" numFmtId="0" xfId="0" applyAlignment="1" applyFill="1" applyFont="1">
      <alignment shrinkToFit="0" vertical="top" wrapText="1"/>
    </xf>
    <xf borderId="0" fillId="14" fontId="12" numFmtId="0" xfId="0" applyAlignment="1" applyFill="1" applyFont="1">
      <alignment horizontal="center" vertical="bottom"/>
    </xf>
    <xf borderId="0" fillId="13" fontId="14" numFmtId="0" xfId="0" applyAlignment="1" applyFill="1" applyFont="1">
      <alignment horizontal="right" shrinkToFit="0" vertical="top" wrapText="1"/>
    </xf>
    <xf borderId="12" fillId="10" fontId="1" numFmtId="0" xfId="0" applyAlignment="1" applyBorder="1" applyFill="1" applyFont="1">
      <alignment vertical="bottom"/>
    </xf>
    <xf borderId="0" fillId="2" fontId="14" numFmtId="0" xfId="0" applyAlignment="1" applyFill="1" applyFont="1">
      <alignment shrinkToFit="0" vertical="top" wrapText="1"/>
    </xf>
    <xf borderId="0" fillId="2" fontId="14" numFmtId="0" xfId="0" applyAlignment="1" applyFill="1" applyFont="1">
      <alignment horizontal="right" shrinkToFit="0" vertical="top" wrapText="1"/>
    </xf>
    <xf borderId="12" fillId="3" fontId="1" numFmtId="0" xfId="0" applyAlignment="1" applyBorder="1" applyFill="1" applyFont="1">
      <alignment vertical="bottom"/>
    </xf>
    <xf borderId="12" fillId="15" fontId="1" numFmtId="0" xfId="0" applyAlignment="1" applyBorder="1" applyFill="1" applyFont="1">
      <alignment vertical="bottom"/>
    </xf>
    <xf borderId="12" fillId="16" fontId="1" numFmtId="0" xfId="0" applyAlignment="1" applyBorder="1" applyFill="1" applyFont="1">
      <alignment vertical="bottom"/>
    </xf>
    <xf borderId="13" fillId="0" fontId="1" numFmtId="0" xfId="0" applyAlignment="1" applyBorder="1" applyFont="1">
      <alignment vertical="bottom"/>
    </xf>
    <xf borderId="14" fillId="0" fontId="5" numFmtId="0" xfId="0" applyBorder="1" applyFont="1"/>
    <xf borderId="15" fillId="14" fontId="1" numFmtId="0" xfId="0" applyAlignment="1" applyBorder="1" applyFill="1" applyFont="1">
      <alignment vertical="bottom"/>
    </xf>
    <xf borderId="2" fillId="17" fontId="3" numFmtId="0" xfId="0" applyBorder="1" applyFill="1" applyFont="1"/>
    <xf borderId="2" fillId="0" fontId="6" numFmtId="0" xfId="0" applyBorder="1" applyFont="1"/>
    <xf borderId="0" fillId="12" fontId="12" numFmtId="0" xfId="0" applyAlignment="1" applyFill="1" applyFont="1">
      <alignment horizontal="center" vertical="bottom"/>
    </xf>
    <xf borderId="0" fillId="2" fontId="15" numFmtId="0" xfId="0" applyAlignment="1" applyFill="1" applyFont="1">
      <alignment horizontal="right" shrinkToFit="0" vertical="top" wrapText="1"/>
    </xf>
    <xf borderId="2" fillId="17" fontId="3" numFmtId="0" xfId="0" applyAlignment="1" applyBorder="1" applyFill="1" applyFont="1">
      <alignment readingOrder="0"/>
    </xf>
    <xf borderId="2" fillId="18" fontId="3" numFmtId="0" xfId="0" applyBorder="1" applyFill="1" applyFont="1"/>
    <xf borderId="11" fillId="2" fontId="8" numFmtId="0" xfId="0" applyAlignment="1" applyBorder="1" applyFill="1" applyFont="1">
      <alignment vertical="bottom"/>
    </xf>
    <xf borderId="12" fillId="0" fontId="16" numFmtId="0" xfId="0" applyAlignment="1" applyBorder="1" applyFont="1">
      <alignment horizontal="center" vertical="bottom"/>
    </xf>
    <xf borderId="0" fillId="0" fontId="6" numFmtId="0" xfId="0" applyAlignment="1" applyFont="1">
      <alignment readingOrder="0"/>
    </xf>
    <xf borderId="2" fillId="19" fontId="6" numFmtId="0" xfId="0" applyBorder="1" applyFill="1" applyFont="1"/>
    <xf borderId="2" fillId="17" fontId="6" numFmtId="0" xfId="0" applyBorder="1" applyFill="1" applyFont="1"/>
    <xf borderId="2" fillId="18" fontId="6" numFmtId="0" xfId="0" applyBorder="1" applyFill="1" applyFont="1"/>
    <xf borderId="0" fillId="16" fontId="12" numFmtId="0" xfId="0" applyAlignment="1" applyFill="1" applyFont="1">
      <alignment horizontal="center" vertical="bottom"/>
    </xf>
    <xf borderId="0" fillId="13" fontId="15" numFmtId="0" xfId="0" applyAlignment="1" applyFill="1" applyFont="1">
      <alignment horizontal="right" shrinkToFit="0" vertical="top" wrapText="1"/>
    </xf>
    <xf borderId="0" fillId="13" fontId="14" numFmtId="0" xfId="0" applyAlignment="1" applyFill="1" applyFont="1">
      <alignment horizontal="left" shrinkToFit="0" vertical="top" wrapText="1"/>
    </xf>
    <xf borderId="0" fillId="0" fontId="10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8" numFmtId="0" xfId="0" applyAlignment="1" applyFill="1" applyFont="1">
      <alignment vertical="bottom"/>
    </xf>
    <xf borderId="0" fillId="0" fontId="16" numFmtId="0" xfId="0" applyAlignment="1" applyFont="1">
      <alignment horizontal="center" vertical="bottom"/>
    </xf>
    <xf borderId="0" fillId="3" fontId="12" numFmtId="0" xfId="0" applyAlignment="1" applyFill="1" applyFont="1">
      <alignment horizontal="center" vertical="bottom"/>
    </xf>
    <xf borderId="0" fillId="15" fontId="12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Industry-style">
      <tableStyleElement dxfId="1" type="headerRow"/>
      <tableStyleElement dxfId="2" type="firstRowStripe"/>
      <tableStyleElement dxfId="3" type="secondRowStripe"/>
    </tableStyle>
    <tableStyle count="2" pivot="0" name="Industry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D45" displayName="Table_1" name="Table_1" id="1">
  <tableColumns count="4">
    <tableColumn name="Concern" id="1"/>
    <tableColumn name="Source IDs" id="2"/>
    <tableColumn name="Count" id="3"/>
    <tableColumn name="Matched raw variant(s)" id="4"/>
  </tableColumns>
  <tableStyleInfo name="Industry-style" showColumnStripes="0" showFirstColumn="1" showLastColumn="1" showRowStripes="1"/>
</table>
</file>

<file path=xl/tables/table2.xml><?xml version="1.0" encoding="utf-8"?>
<table xmlns="http://schemas.openxmlformats.org/spreadsheetml/2006/main" headerRowCount="0" ref="A46:D4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Indust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5.75"/>
    <col customWidth="1" min="3" max="3" width="28.0"/>
    <col customWidth="1" min="4" max="4" width="2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5" t="s">
        <v>3</v>
      </c>
      <c r="C2" s="6"/>
      <c r="D2" s="6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8" t="s">
        <v>4</v>
      </c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E5" s="1"/>
      <c r="F5" s="1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1"/>
      <c r="D6" s="1"/>
      <c r="E6" s="1"/>
      <c r="F6" s="1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9" t="s">
        <v>10</v>
      </c>
      <c r="C7" s="10" t="s">
        <v>13</v>
      </c>
      <c r="D7" s="11" t="s">
        <v>15</v>
      </c>
      <c r="E7" s="1"/>
      <c r="F7" s="14" t="s">
        <v>16</v>
      </c>
      <c r="G7" s="15"/>
      <c r="H7" s="16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7" t="s">
        <v>21</v>
      </c>
      <c r="C8" s="19" t="s">
        <v>17</v>
      </c>
      <c r="D8" s="20">
        <v>27.0</v>
      </c>
      <c r="E8" s="1"/>
      <c r="F8" s="22" t="s">
        <v>23</v>
      </c>
      <c r="H8" s="23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7" t="s">
        <v>26</v>
      </c>
      <c r="C9" s="25" t="s">
        <v>2</v>
      </c>
      <c r="D9" s="20">
        <v>21.0</v>
      </c>
      <c r="E9" s="1"/>
      <c r="F9" s="22" t="s">
        <v>29</v>
      </c>
      <c r="H9" s="27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7" t="s">
        <v>35</v>
      </c>
      <c r="C10" s="29" t="s">
        <v>28</v>
      </c>
      <c r="D10" s="20">
        <v>20.0</v>
      </c>
      <c r="E10" s="1"/>
      <c r="F10" s="22" t="s">
        <v>38</v>
      </c>
      <c r="H10" s="3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7" t="s">
        <v>41</v>
      </c>
      <c r="C11" s="25" t="s">
        <v>11</v>
      </c>
      <c r="D11" s="20">
        <v>17.0</v>
      </c>
      <c r="E11" s="1"/>
      <c r="F11" s="22" t="s">
        <v>43</v>
      </c>
      <c r="H11" s="34"/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17" t="s">
        <v>47</v>
      </c>
      <c r="C12" s="25" t="s">
        <v>22</v>
      </c>
      <c r="D12" s="20">
        <v>11.0</v>
      </c>
      <c r="E12" s="1"/>
      <c r="F12" s="22" t="s">
        <v>50</v>
      </c>
      <c r="H12" s="35"/>
      <c r="I12" s="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17" t="s">
        <v>56</v>
      </c>
      <c r="C13" s="25" t="s">
        <v>14</v>
      </c>
      <c r="D13" s="20">
        <v>10.0</v>
      </c>
      <c r="E13" s="1"/>
      <c r="F13" s="22" t="s">
        <v>58</v>
      </c>
      <c r="H13" s="36"/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17" t="s">
        <v>63</v>
      </c>
      <c r="C14" s="25" t="s">
        <v>5</v>
      </c>
      <c r="D14" s="20">
        <v>9.0</v>
      </c>
      <c r="E14" s="1"/>
      <c r="F14" s="37" t="s">
        <v>66</v>
      </c>
      <c r="G14" s="38"/>
      <c r="H14" s="39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17" t="s">
        <v>70</v>
      </c>
      <c r="C15" s="29" t="s">
        <v>67</v>
      </c>
      <c r="D15" s="20">
        <v>7.0</v>
      </c>
      <c r="E15" s="1"/>
      <c r="F15" s="1"/>
      <c r="G15" s="1"/>
      <c r="H15" s="1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17" t="s">
        <v>76</v>
      </c>
      <c r="C16" s="42" t="s">
        <v>37</v>
      </c>
      <c r="D16" s="20">
        <v>7.0</v>
      </c>
      <c r="E16" s="1"/>
      <c r="F16" s="1"/>
      <c r="G16" s="1"/>
      <c r="H16" s="1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17" t="s">
        <v>81</v>
      </c>
      <c r="C17" s="42" t="s">
        <v>71</v>
      </c>
      <c r="D17" s="20">
        <v>7.0</v>
      </c>
      <c r="E17" s="1"/>
      <c r="F17" s="1"/>
      <c r="G17" s="1"/>
      <c r="H17" s="1"/>
      <c r="I17" s="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17" t="s">
        <v>85</v>
      </c>
      <c r="C18" s="25" t="s">
        <v>57</v>
      </c>
      <c r="D18" s="20">
        <v>6.0</v>
      </c>
      <c r="E18" s="1"/>
      <c r="F18" s="1"/>
      <c r="G18" s="1"/>
      <c r="H18" s="1"/>
      <c r="I18" s="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17" t="s">
        <v>90</v>
      </c>
      <c r="C19" s="29" t="s">
        <v>73</v>
      </c>
      <c r="D19" s="20">
        <v>6.0</v>
      </c>
      <c r="E19" s="1"/>
      <c r="F19" s="1"/>
      <c r="G19" s="1"/>
      <c r="H19" s="1"/>
      <c r="I19" s="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17" t="s">
        <v>95</v>
      </c>
      <c r="C20" s="19" t="s">
        <v>46</v>
      </c>
      <c r="D20" s="20">
        <v>5.0</v>
      </c>
      <c r="E20" s="1"/>
      <c r="F20" s="1"/>
      <c r="G20" s="1"/>
      <c r="H20" s="1"/>
      <c r="I20" s="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17" t="s">
        <v>102</v>
      </c>
      <c r="C21" s="42" t="s">
        <v>48</v>
      </c>
      <c r="D21" s="20">
        <v>5.0</v>
      </c>
      <c r="E21" s="1"/>
      <c r="F21" s="1"/>
      <c r="G21" s="1"/>
      <c r="H21" s="1"/>
      <c r="I21" s="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17" t="s">
        <v>107</v>
      </c>
      <c r="C22" s="42" t="s">
        <v>82</v>
      </c>
      <c r="D22" s="20">
        <v>4.0</v>
      </c>
      <c r="E22" s="1"/>
      <c r="F22" s="1"/>
      <c r="G22" s="1"/>
      <c r="H22" s="1"/>
      <c r="I22" s="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17" t="s">
        <v>115</v>
      </c>
      <c r="C23" s="42" t="s">
        <v>24</v>
      </c>
      <c r="D23" s="20">
        <v>4.0</v>
      </c>
      <c r="E23" s="1"/>
      <c r="F23" s="1"/>
      <c r="G23" s="1"/>
      <c r="H23" s="1"/>
      <c r="I23" s="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/>
      <c r="B24" s="17" t="s">
        <v>118</v>
      </c>
      <c r="C24" s="42" t="s">
        <v>87</v>
      </c>
      <c r="D24" s="20">
        <v>4.0</v>
      </c>
      <c r="E24" s="1"/>
      <c r="F24" s="1"/>
      <c r="G24" s="1"/>
      <c r="H24" s="1"/>
      <c r="I24" s="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/>
      <c r="B25" s="17" t="s">
        <v>125</v>
      </c>
      <c r="C25" s="29" t="s">
        <v>88</v>
      </c>
      <c r="D25" s="20">
        <v>4.0</v>
      </c>
      <c r="E25" s="1"/>
      <c r="F25" s="1"/>
      <c r="G25" s="1"/>
      <c r="H25" s="1"/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/>
      <c r="B26" s="17" t="s">
        <v>131</v>
      </c>
      <c r="C26" s="42" t="s">
        <v>34</v>
      </c>
      <c r="D26" s="20">
        <v>3.0</v>
      </c>
      <c r="E26" s="1"/>
      <c r="F26" s="1"/>
      <c r="G26" s="1"/>
      <c r="H26" s="1"/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/>
      <c r="B27" s="17" t="s">
        <v>138</v>
      </c>
      <c r="C27" s="42" t="s">
        <v>94</v>
      </c>
      <c r="D27" s="20">
        <v>3.0</v>
      </c>
      <c r="E27" s="1"/>
      <c r="F27" s="1"/>
      <c r="G27" s="1"/>
      <c r="H27" s="1"/>
      <c r="I27" s="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/>
      <c r="B28" s="17" t="s">
        <v>144</v>
      </c>
      <c r="C28" s="42" t="s">
        <v>42</v>
      </c>
      <c r="D28" s="20">
        <v>3.0</v>
      </c>
      <c r="E28" s="1"/>
      <c r="F28" s="1"/>
      <c r="G28" s="1"/>
      <c r="H28" s="1"/>
      <c r="I28" s="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/>
      <c r="B29" s="17" t="s">
        <v>151</v>
      </c>
      <c r="C29" s="25" t="s">
        <v>6</v>
      </c>
      <c r="D29" s="20">
        <v>3.0</v>
      </c>
      <c r="E29" s="1"/>
      <c r="F29" s="1"/>
      <c r="G29" s="1"/>
      <c r="H29" s="1"/>
      <c r="I29" s="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17" t="s">
        <v>144</v>
      </c>
      <c r="C30" s="29" t="s">
        <v>96</v>
      </c>
      <c r="D30" s="20">
        <v>3.0</v>
      </c>
      <c r="E30" s="1"/>
      <c r="F30" s="1"/>
      <c r="G30" s="1"/>
      <c r="H30" s="1"/>
      <c r="I30" s="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/>
      <c r="B31" s="17" t="s">
        <v>166</v>
      </c>
      <c r="C31" s="19" t="s">
        <v>98</v>
      </c>
      <c r="D31" s="20">
        <v>3.0</v>
      </c>
      <c r="E31" s="1"/>
      <c r="F31" s="1"/>
      <c r="G31" s="1"/>
      <c r="H31" s="1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/>
      <c r="B32" s="17" t="s">
        <v>172</v>
      </c>
      <c r="C32" s="25" t="s">
        <v>100</v>
      </c>
      <c r="D32" s="20">
        <v>3.0</v>
      </c>
      <c r="E32" s="1"/>
      <c r="F32" s="1"/>
      <c r="G32" s="1"/>
      <c r="H32" s="1"/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B33" s="17" t="s">
        <v>178</v>
      </c>
      <c r="C33" s="25" t="s">
        <v>18</v>
      </c>
      <c r="D33" s="20">
        <v>3.0</v>
      </c>
      <c r="E33" s="1"/>
      <c r="F33" s="1"/>
      <c r="G33" s="1"/>
      <c r="H33" s="1"/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46" t="s">
        <v>184</v>
      </c>
      <c r="C34" s="42" t="s">
        <v>53</v>
      </c>
      <c r="D34" s="47">
        <v>2.0</v>
      </c>
      <c r="E34" s="1"/>
      <c r="F34" s="1"/>
      <c r="G34" s="1"/>
      <c r="H34" s="1"/>
      <c r="I34" s="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17" t="s">
        <v>192</v>
      </c>
      <c r="C35" s="42" t="s">
        <v>59</v>
      </c>
      <c r="D35" s="20">
        <v>2.0</v>
      </c>
      <c r="E35" s="1"/>
      <c r="F35" s="1"/>
      <c r="G35" s="1"/>
      <c r="H35" s="1"/>
      <c r="I35" s="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17" t="s">
        <v>197</v>
      </c>
      <c r="C36" s="42" t="s">
        <v>104</v>
      </c>
      <c r="D36" s="20">
        <v>2.0</v>
      </c>
      <c r="E36" s="1"/>
      <c r="F36" s="1"/>
      <c r="G36" s="1"/>
      <c r="H36" s="1"/>
      <c r="I36" s="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7" t="s">
        <v>202</v>
      </c>
      <c r="C37" s="42" t="s">
        <v>106</v>
      </c>
      <c r="D37" s="20">
        <v>2.0</v>
      </c>
      <c r="E37" s="1"/>
      <c r="F37" s="1"/>
      <c r="G37" s="1"/>
      <c r="H37" s="1"/>
      <c r="I37" s="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17" t="s">
        <v>204</v>
      </c>
      <c r="C38" s="25" t="s">
        <v>108</v>
      </c>
      <c r="D38" s="20">
        <v>2.0</v>
      </c>
      <c r="E38" s="1"/>
      <c r="F38" s="1"/>
      <c r="G38" s="1"/>
      <c r="H38" s="1"/>
      <c r="I38" s="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17" t="s">
        <v>206</v>
      </c>
      <c r="C39" s="25" t="s">
        <v>109</v>
      </c>
      <c r="D39" s="20">
        <v>2.0</v>
      </c>
      <c r="E39" s="1"/>
      <c r="F39" s="1"/>
      <c r="G39" s="1"/>
      <c r="H39" s="1"/>
      <c r="I39" s="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17" t="s">
        <v>208</v>
      </c>
      <c r="C40" s="25" t="s">
        <v>25</v>
      </c>
      <c r="D40" s="47">
        <v>2.0</v>
      </c>
      <c r="E40" s="1"/>
      <c r="F40" s="1"/>
      <c r="G40" s="1"/>
      <c r="H40" s="1"/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17" t="s">
        <v>212</v>
      </c>
      <c r="C41" s="29" t="s">
        <v>110</v>
      </c>
      <c r="D41" s="20">
        <v>2.0</v>
      </c>
      <c r="E41" s="1"/>
      <c r="F41" s="1"/>
      <c r="G41" s="1"/>
      <c r="H41" s="1"/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17" t="s">
        <v>213</v>
      </c>
      <c r="C42" s="52" t="s">
        <v>112</v>
      </c>
      <c r="D42" s="20">
        <v>2.0</v>
      </c>
      <c r="E42" s="1"/>
      <c r="F42" s="1"/>
      <c r="G42" s="1"/>
      <c r="H42" s="1"/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7" t="s">
        <v>213</v>
      </c>
      <c r="C43" s="52" t="s">
        <v>33</v>
      </c>
      <c r="D43" s="20">
        <v>2.0</v>
      </c>
      <c r="E43" s="1"/>
      <c r="F43" s="1"/>
      <c r="G43" s="1"/>
      <c r="H43" s="1"/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7" t="s">
        <v>215</v>
      </c>
      <c r="C44" s="25" t="s">
        <v>27</v>
      </c>
      <c r="D44" s="20">
        <v>2.0</v>
      </c>
      <c r="E44" s="1"/>
      <c r="F44" s="1"/>
      <c r="G44" s="1"/>
      <c r="H44" s="1"/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46" t="s">
        <v>218</v>
      </c>
      <c r="C45" s="25" t="s">
        <v>101</v>
      </c>
      <c r="D45" s="47">
        <v>2.0</v>
      </c>
      <c r="E45" s="1"/>
      <c r="F45" s="1"/>
      <c r="G45" s="1"/>
      <c r="H45" s="1"/>
      <c r="I45" s="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46" t="s">
        <v>221</v>
      </c>
      <c r="C46" s="29" t="s">
        <v>113</v>
      </c>
      <c r="D46" s="47">
        <v>2.0</v>
      </c>
      <c r="E46" s="1"/>
      <c r="F46" s="1"/>
      <c r="G46" s="1"/>
      <c r="H46" s="1"/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17" t="s">
        <v>223</v>
      </c>
      <c r="C47" s="19" t="s">
        <v>92</v>
      </c>
      <c r="D47" s="20">
        <v>2.0</v>
      </c>
      <c r="E47" s="1"/>
      <c r="F47" s="1"/>
      <c r="G47" s="1"/>
      <c r="H47" s="1"/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17" t="s">
        <v>225</v>
      </c>
      <c r="C48" s="42" t="s">
        <v>117</v>
      </c>
      <c r="D48" s="20">
        <v>1.0</v>
      </c>
      <c r="E48" s="1"/>
      <c r="F48" s="1"/>
      <c r="G48" s="1"/>
      <c r="H48" s="1"/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17" t="s">
        <v>227</v>
      </c>
      <c r="C49" s="42" t="s">
        <v>120</v>
      </c>
      <c r="D49" s="20">
        <v>1.0</v>
      </c>
      <c r="E49" s="1"/>
      <c r="F49" s="1"/>
      <c r="G49" s="1"/>
      <c r="H49" s="1"/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/>
      <c r="B50" s="17" t="s">
        <v>230</v>
      </c>
      <c r="C50" s="42" t="s">
        <v>40</v>
      </c>
      <c r="D50" s="20">
        <v>1.0</v>
      </c>
      <c r="E50" s="1"/>
      <c r="F50" s="1"/>
      <c r="G50" s="1"/>
      <c r="H50" s="1"/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/>
      <c r="B51" s="17" t="s">
        <v>233</v>
      </c>
      <c r="C51" s="42" t="s">
        <v>122</v>
      </c>
      <c r="D51" s="20">
        <v>1.0</v>
      </c>
      <c r="E51" s="1"/>
      <c r="F51" s="1"/>
      <c r="G51" s="1"/>
      <c r="H51" s="1"/>
      <c r="I51" s="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/>
      <c r="B52" s="17" t="s">
        <v>234</v>
      </c>
      <c r="C52" s="42" t="s">
        <v>123</v>
      </c>
      <c r="D52" s="20">
        <v>1.0</v>
      </c>
      <c r="E52" s="1"/>
      <c r="F52" s="1"/>
      <c r="G52" s="1"/>
      <c r="H52" s="1"/>
      <c r="I52" s="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B53" s="17" t="s">
        <v>236</v>
      </c>
      <c r="C53" s="42" t="s">
        <v>62</v>
      </c>
      <c r="D53" s="20">
        <v>1.0</v>
      </c>
      <c r="E53" s="1"/>
      <c r="F53" s="1"/>
      <c r="G53" s="1"/>
      <c r="H53" s="1"/>
      <c r="I53" s="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/>
      <c r="B54" s="17" t="s">
        <v>230</v>
      </c>
      <c r="C54" s="42" t="s">
        <v>75</v>
      </c>
      <c r="D54" s="20">
        <v>1.0</v>
      </c>
      <c r="E54" s="1"/>
      <c r="F54" s="1"/>
      <c r="G54" s="1"/>
      <c r="H54" s="1"/>
      <c r="I54" s="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/>
      <c r="B55" s="17" t="s">
        <v>240</v>
      </c>
      <c r="C55" s="42" t="s">
        <v>124</v>
      </c>
      <c r="D55" s="20">
        <v>1.0</v>
      </c>
      <c r="E55" s="1"/>
      <c r="F55" s="1"/>
      <c r="G55" s="1"/>
      <c r="H55" s="1"/>
      <c r="I55" s="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/>
      <c r="B56" s="17" t="s">
        <v>234</v>
      </c>
      <c r="C56" s="42" t="s">
        <v>126</v>
      </c>
      <c r="D56" s="20">
        <v>1.0</v>
      </c>
      <c r="E56" s="1"/>
      <c r="F56" s="1"/>
      <c r="G56" s="1"/>
      <c r="H56" s="1"/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/>
      <c r="B57" s="17" t="s">
        <v>241</v>
      </c>
      <c r="C57" s="42" t="s">
        <v>127</v>
      </c>
      <c r="D57" s="20">
        <v>1.0</v>
      </c>
      <c r="E57" s="1"/>
      <c r="F57" s="1"/>
      <c r="G57" s="1"/>
      <c r="H57" s="1"/>
      <c r="I57" s="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/>
      <c r="B58" s="17" t="s">
        <v>233</v>
      </c>
      <c r="C58" s="42" t="s">
        <v>84</v>
      </c>
      <c r="D58" s="20">
        <v>1.0</v>
      </c>
      <c r="E58" s="1"/>
      <c r="F58" s="1"/>
      <c r="G58" s="1"/>
      <c r="H58" s="1"/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/>
      <c r="B59" s="17" t="s">
        <v>244</v>
      </c>
      <c r="C59" s="25" t="s">
        <v>116</v>
      </c>
      <c r="D59" s="20">
        <v>1.0</v>
      </c>
      <c r="E59" s="1"/>
      <c r="F59" s="1"/>
      <c r="G59" s="1"/>
      <c r="H59" s="1"/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/>
      <c r="B60" s="17" t="s">
        <v>230</v>
      </c>
      <c r="C60" s="25" t="s">
        <v>245</v>
      </c>
      <c r="D60" s="20">
        <v>1.0</v>
      </c>
      <c r="E60" s="1"/>
      <c r="F60" s="1"/>
      <c r="G60" s="1"/>
      <c r="H60" s="1"/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/>
      <c r="B61" s="17" t="s">
        <v>230</v>
      </c>
      <c r="C61" s="25" t="s">
        <v>132</v>
      </c>
      <c r="D61" s="20">
        <v>1.0</v>
      </c>
      <c r="E61" s="1"/>
      <c r="F61" s="1"/>
      <c r="G61" s="1"/>
      <c r="H61" s="1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/>
      <c r="B62" s="17" t="s">
        <v>230</v>
      </c>
      <c r="C62" s="25" t="s">
        <v>19</v>
      </c>
      <c r="D62" s="20">
        <v>1.0</v>
      </c>
      <c r="E62" s="1"/>
      <c r="F62" s="1"/>
      <c r="G62" s="1"/>
      <c r="H62" s="1"/>
      <c r="I62" s="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/>
      <c r="B63" s="17" t="s">
        <v>241</v>
      </c>
      <c r="C63" s="25" t="s">
        <v>133</v>
      </c>
      <c r="D63" s="20">
        <v>1.0</v>
      </c>
      <c r="E63" s="1"/>
      <c r="F63" s="1"/>
      <c r="G63" s="1"/>
      <c r="H63" s="1"/>
      <c r="I63" s="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17" t="s">
        <v>240</v>
      </c>
      <c r="C64" s="29" t="s">
        <v>136</v>
      </c>
      <c r="D64" s="20">
        <v>1.0</v>
      </c>
      <c r="E64" s="1"/>
      <c r="F64" s="1"/>
      <c r="G64" s="1"/>
      <c r="H64" s="1"/>
      <c r="I64" s="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46" t="s">
        <v>227</v>
      </c>
      <c r="C65" s="29" t="s">
        <v>137</v>
      </c>
      <c r="D65" s="20">
        <v>1.0</v>
      </c>
      <c r="E65" s="1"/>
      <c r="F65" s="1"/>
      <c r="G65" s="1"/>
      <c r="H65" s="1"/>
      <c r="I65" s="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46" t="s">
        <v>241</v>
      </c>
      <c r="C66" s="29" t="s">
        <v>139</v>
      </c>
      <c r="D66" s="20">
        <v>1.0</v>
      </c>
      <c r="E66" s="1"/>
      <c r="F66" s="1"/>
      <c r="G66" s="1"/>
      <c r="H66" s="1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/>
      <c r="B67" s="46" t="s">
        <v>250</v>
      </c>
      <c r="C67" s="29" t="s">
        <v>7</v>
      </c>
      <c r="D67" s="20">
        <v>1.0</v>
      </c>
      <c r="E67" s="1"/>
      <c r="F67" s="1"/>
      <c r="G67" s="1"/>
      <c r="H67" s="1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/>
      <c r="B68" s="46" t="s">
        <v>251</v>
      </c>
      <c r="C68" s="29" t="s">
        <v>140</v>
      </c>
      <c r="D68" s="20">
        <v>1.0</v>
      </c>
      <c r="E68" s="1"/>
      <c r="F68" s="1"/>
      <c r="G68" s="1"/>
      <c r="H68" s="1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/>
      <c r="B69" s="46" t="s">
        <v>251</v>
      </c>
      <c r="C69" s="29" t="s">
        <v>141</v>
      </c>
      <c r="D69" s="20">
        <v>1.0</v>
      </c>
      <c r="E69" s="1"/>
      <c r="F69" s="1"/>
      <c r="G69" s="1"/>
      <c r="H69" s="1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/>
      <c r="B70" s="46" t="s">
        <v>234</v>
      </c>
      <c r="C70" s="29" t="s">
        <v>142</v>
      </c>
      <c r="D70" s="20">
        <v>1.0</v>
      </c>
      <c r="E70" s="1"/>
      <c r="F70" s="1"/>
      <c r="G70" s="1"/>
      <c r="H70" s="1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/>
      <c r="B71" s="46" t="s">
        <v>227</v>
      </c>
      <c r="C71" s="29" t="s">
        <v>79</v>
      </c>
      <c r="D71" s="20">
        <v>1.0</v>
      </c>
      <c r="E71" s="1"/>
      <c r="F71" s="1"/>
      <c r="G71" s="1"/>
      <c r="H71" s="1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/>
      <c r="B72" s="46" t="s">
        <v>252</v>
      </c>
      <c r="C72" s="29" t="s">
        <v>146</v>
      </c>
      <c r="D72" s="47">
        <v>1.0</v>
      </c>
      <c r="E72" s="1"/>
      <c r="F72" s="1"/>
      <c r="G72" s="1"/>
      <c r="H72" s="1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46" t="s">
        <v>252</v>
      </c>
      <c r="C73" s="29" t="s">
        <v>147</v>
      </c>
      <c r="D73" s="47">
        <v>1.0</v>
      </c>
      <c r="E73" s="1"/>
      <c r="F73" s="1"/>
      <c r="G73" s="1"/>
      <c r="H73" s="1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/>
      <c r="B74" s="46" t="s">
        <v>233</v>
      </c>
      <c r="C74" s="29" t="s">
        <v>148</v>
      </c>
      <c r="D74" s="20">
        <v>1.0</v>
      </c>
      <c r="E74" s="1"/>
      <c r="F74" s="1"/>
      <c r="G74" s="1"/>
      <c r="H74" s="1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/>
      <c r="B75" s="46" t="s">
        <v>253</v>
      </c>
      <c r="C75" s="52" t="s">
        <v>149</v>
      </c>
      <c r="D75" s="47">
        <v>1.0</v>
      </c>
      <c r="E75" s="1"/>
      <c r="F75" s="1"/>
      <c r="G75" s="1"/>
      <c r="H75" s="1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/>
      <c r="B76" s="17" t="s">
        <v>236</v>
      </c>
      <c r="C76" s="52" t="s">
        <v>150</v>
      </c>
      <c r="D76" s="20">
        <v>1.0</v>
      </c>
      <c r="E76" s="1"/>
      <c r="F76" s="1"/>
      <c r="G76" s="1"/>
      <c r="H76" s="1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/>
      <c r="B77" s="46" t="s">
        <v>253</v>
      </c>
      <c r="C77" s="52" t="s">
        <v>51</v>
      </c>
      <c r="D77" s="47">
        <v>1.0</v>
      </c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/>
      <c r="B78" s="17" t="s">
        <v>251</v>
      </c>
      <c r="C78" s="19" t="s">
        <v>8</v>
      </c>
      <c r="D78" s="20">
        <v>1.0</v>
      </c>
      <c r="E78" s="1"/>
      <c r="F78" s="1"/>
      <c r="G78" s="1"/>
      <c r="H78" s="1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/>
      <c r="B79" s="17" t="s">
        <v>225</v>
      </c>
      <c r="C79" s="19" t="s">
        <v>9</v>
      </c>
      <c r="D79" s="20">
        <v>1.0</v>
      </c>
      <c r="E79" s="1"/>
      <c r="F79" s="1"/>
      <c r="G79" s="1"/>
      <c r="H79" s="1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/>
      <c r="B80" s="17" t="s">
        <v>234</v>
      </c>
      <c r="C80" s="19" t="s">
        <v>152</v>
      </c>
      <c r="D80" s="20">
        <v>1.0</v>
      </c>
      <c r="E80" s="1"/>
      <c r="F80" s="1"/>
      <c r="G80" s="1"/>
      <c r="H80" s="1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/>
      <c r="B81" s="56" t="s">
        <v>234</v>
      </c>
      <c r="C81" s="19" t="s">
        <v>154</v>
      </c>
      <c r="D81" s="57">
        <v>1.0</v>
      </c>
      <c r="E81" s="1"/>
      <c r="F81" s="1"/>
      <c r="G81" s="1"/>
      <c r="H81" s="1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/>
      <c r="B82" s="58" t="s">
        <v>254</v>
      </c>
      <c r="C82" s="19" t="s">
        <v>156</v>
      </c>
      <c r="D82" s="59">
        <v>1.0</v>
      </c>
      <c r="E82" s="1"/>
      <c r="F82" s="1"/>
      <c r="G82" s="1"/>
      <c r="H82" s="1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/>
      <c r="B83" s="56" t="s">
        <v>255</v>
      </c>
      <c r="C83" s="19" t="s">
        <v>157</v>
      </c>
      <c r="D83" s="57">
        <v>1.0</v>
      </c>
      <c r="E83" s="1"/>
      <c r="F83" s="1"/>
      <c r="G83" s="1"/>
      <c r="H83" s="1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/>
      <c r="B84" s="56" t="s">
        <v>236</v>
      </c>
      <c r="C84" s="60" t="s">
        <v>158</v>
      </c>
      <c r="D84" s="57">
        <v>1.0</v>
      </c>
      <c r="E84" s="1"/>
      <c r="F84" s="1"/>
      <c r="G84" s="1"/>
      <c r="H84" s="1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/>
      <c r="B85" s="56" t="s">
        <v>256</v>
      </c>
      <c r="C85" s="60" t="s">
        <v>159</v>
      </c>
      <c r="D85" s="57">
        <v>1.0</v>
      </c>
      <c r="E85" s="1"/>
      <c r="F85" s="1"/>
      <c r="G85" s="1"/>
      <c r="H85" s="1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/>
      <c r="B86" s="56" t="s">
        <v>257</v>
      </c>
      <c r="C86" s="60" t="s">
        <v>161</v>
      </c>
      <c r="D86" s="57">
        <v>1.0</v>
      </c>
      <c r="E86" s="1"/>
      <c r="F86" s="1"/>
      <c r="G86" s="1"/>
      <c r="H86" s="1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/>
      <c r="B87" s="56" t="s">
        <v>227</v>
      </c>
      <c r="C87" s="60" t="s">
        <v>163</v>
      </c>
      <c r="D87" s="57">
        <v>1.0</v>
      </c>
      <c r="E87" s="1"/>
      <c r="F87" s="1"/>
      <c r="G87" s="1"/>
      <c r="H87" s="1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/>
      <c r="B88" s="56" t="s">
        <v>241</v>
      </c>
      <c r="C88" s="61" t="s">
        <v>165</v>
      </c>
      <c r="D88" s="57">
        <v>1.0</v>
      </c>
      <c r="E88" s="1"/>
      <c r="F88" s="1"/>
      <c r="G88" s="1"/>
      <c r="H88" s="1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/>
      <c r="B89" s="56" t="s">
        <v>225</v>
      </c>
      <c r="C89" s="61" t="s">
        <v>167</v>
      </c>
      <c r="D89" s="57">
        <v>1.0</v>
      </c>
      <c r="E89" s="1"/>
      <c r="F89" s="1"/>
      <c r="G89" s="1"/>
      <c r="H89" s="1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/>
      <c r="B90" s="56" t="s">
        <v>258</v>
      </c>
      <c r="C90" s="42" t="s">
        <v>168</v>
      </c>
      <c r="D90" s="57">
        <v>1.0</v>
      </c>
      <c r="E90" s="1"/>
      <c r="F90" s="1"/>
      <c r="G90" s="1"/>
      <c r="H90" s="1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/>
      <c r="B91" s="56" t="s">
        <v>258</v>
      </c>
      <c r="C91" s="42" t="s">
        <v>171</v>
      </c>
      <c r="D91" s="57">
        <v>1.0</v>
      </c>
      <c r="E91" s="1"/>
      <c r="F91" s="1"/>
      <c r="G91" s="1"/>
      <c r="H91" s="1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/>
      <c r="B92" s="56" t="s">
        <v>259</v>
      </c>
      <c r="C92" s="19" t="s">
        <v>173</v>
      </c>
      <c r="D92" s="57">
        <v>1.0</v>
      </c>
      <c r="E92" s="1"/>
      <c r="F92" s="1"/>
      <c r="G92" s="1"/>
      <c r="H92" s="1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/>
      <c r="B93" s="56" t="s">
        <v>259</v>
      </c>
      <c r="C93" s="60" t="s">
        <v>174</v>
      </c>
      <c r="D93" s="57">
        <v>1.0</v>
      </c>
      <c r="E93" s="1"/>
      <c r="F93" s="1"/>
      <c r="G93" s="1"/>
      <c r="H93" s="1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62" t="s">
        <v>260</v>
      </c>
      <c r="C96" s="62" t="s">
        <v>261</v>
      </c>
      <c r="D96" s="62" t="s">
        <v>262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F12:G12"/>
    <mergeCell ref="F13:G13"/>
    <mergeCell ref="F14:G14"/>
    <mergeCell ref="B2:D2"/>
    <mergeCell ref="B3:D5"/>
    <mergeCell ref="F7:H7"/>
    <mergeCell ref="F8:G8"/>
    <mergeCell ref="F9:G9"/>
    <mergeCell ref="F10:G10"/>
    <mergeCell ref="F11:G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68.0"/>
    <col customWidth="1" min="3" max="3" width="14.63"/>
    <col customWidth="1" min="4" max="4" width="59.63"/>
  </cols>
  <sheetData>
    <row r="1">
      <c r="A1" s="12" t="s">
        <v>12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8" t="s">
        <v>20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1"/>
      <c r="B3" s="21"/>
      <c r="C3" s="21"/>
      <c r="D3" s="21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">
        <v>0</v>
      </c>
      <c r="B4" s="26" t="s">
        <v>30</v>
      </c>
      <c r="C4" s="26" t="s">
        <v>31</v>
      </c>
      <c r="D4" s="26" t="s">
        <v>32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8" t="s">
        <v>5</v>
      </c>
      <c r="B5" s="28" t="s">
        <v>36</v>
      </c>
      <c r="C5" s="30">
        <v>50.0</v>
      </c>
      <c r="D5" s="28" t="s">
        <v>39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32" t="s">
        <v>2</v>
      </c>
      <c r="B6" s="32" t="s">
        <v>44</v>
      </c>
      <c r="C6" s="33">
        <v>44.0</v>
      </c>
      <c r="D6" s="32" t="s">
        <v>45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8" t="s">
        <v>6</v>
      </c>
      <c r="B7" s="28" t="s">
        <v>49</v>
      </c>
      <c r="C7" s="30">
        <v>40.0</v>
      </c>
      <c r="D7" s="28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32" t="s">
        <v>7</v>
      </c>
      <c r="B8" s="32" t="s">
        <v>54</v>
      </c>
      <c r="C8" s="33">
        <v>39.0</v>
      </c>
      <c r="D8" s="32" t="s">
        <v>55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28" t="s">
        <v>8</v>
      </c>
      <c r="B9" s="28" t="s">
        <v>60</v>
      </c>
      <c r="C9" s="30">
        <v>38.0</v>
      </c>
      <c r="D9" s="28" t="s">
        <v>61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32" t="s">
        <v>9</v>
      </c>
      <c r="B10" s="32" t="s">
        <v>64</v>
      </c>
      <c r="C10" s="33">
        <v>34.0</v>
      </c>
      <c r="D10" s="32" t="s">
        <v>65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8" t="s">
        <v>19</v>
      </c>
      <c r="B11" s="28" t="s">
        <v>68</v>
      </c>
      <c r="C11" s="30">
        <v>32.0</v>
      </c>
      <c r="D11" s="28" t="s">
        <v>69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32" t="s">
        <v>18</v>
      </c>
      <c r="B12" s="32" t="s">
        <v>72</v>
      </c>
      <c r="C12" s="33">
        <v>30.0</v>
      </c>
      <c r="D12" s="32" t="s">
        <v>74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28" t="s">
        <v>77</v>
      </c>
      <c r="B13" s="28" t="s">
        <v>78</v>
      </c>
      <c r="C13" s="30">
        <v>26.0</v>
      </c>
      <c r="D13" s="28" t="s">
        <v>80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32" t="s">
        <v>27</v>
      </c>
      <c r="B14" s="32" t="s">
        <v>83</v>
      </c>
      <c r="C14" s="33">
        <v>25.0</v>
      </c>
      <c r="D14" s="32" t="s">
        <v>86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8" t="s">
        <v>89</v>
      </c>
      <c r="B15" s="28" t="s">
        <v>91</v>
      </c>
      <c r="C15" s="30">
        <v>25.0</v>
      </c>
      <c r="D15" s="28" t="s">
        <v>93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32" t="s">
        <v>14</v>
      </c>
      <c r="B16" s="32" t="s">
        <v>97</v>
      </c>
      <c r="C16" s="33">
        <v>24.0</v>
      </c>
      <c r="D16" s="32" t="s">
        <v>99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8" t="s">
        <v>22</v>
      </c>
      <c r="B17" s="28" t="s">
        <v>103</v>
      </c>
      <c r="C17" s="30">
        <v>19.0</v>
      </c>
      <c r="D17" s="28" t="s">
        <v>105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32" t="s">
        <v>33</v>
      </c>
      <c r="B18" s="32" t="s">
        <v>111</v>
      </c>
      <c r="C18" s="43">
        <v>18.0</v>
      </c>
      <c r="D18" s="32" t="s">
        <v>114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8" t="s">
        <v>11</v>
      </c>
      <c r="B19" s="28" t="s">
        <v>119</v>
      </c>
      <c r="C19" s="30">
        <v>17.0</v>
      </c>
      <c r="D19" s="28" t="s">
        <v>121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32" t="s">
        <v>34</v>
      </c>
      <c r="B20" s="32" t="s">
        <v>128</v>
      </c>
      <c r="C20" s="33">
        <v>16.0</v>
      </c>
      <c r="D20" s="32" t="s">
        <v>129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28" t="s">
        <v>40</v>
      </c>
      <c r="B21" s="28" t="s">
        <v>134</v>
      </c>
      <c r="C21" s="30">
        <v>13.0</v>
      </c>
      <c r="D21" s="28" t="s">
        <v>135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32" t="s">
        <v>59</v>
      </c>
      <c r="B22" s="32" t="s">
        <v>143</v>
      </c>
      <c r="C22" s="43">
        <v>7.0</v>
      </c>
      <c r="D22" s="32" t="s">
        <v>145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28" t="s">
        <v>37</v>
      </c>
      <c r="B23" s="28" t="s">
        <v>153</v>
      </c>
      <c r="C23" s="30">
        <v>11.0</v>
      </c>
      <c r="D23" s="28" t="s">
        <v>155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32" t="s">
        <v>160</v>
      </c>
      <c r="B24" s="32" t="s">
        <v>162</v>
      </c>
      <c r="C24" s="33">
        <v>10.0</v>
      </c>
      <c r="D24" s="32" t="s">
        <v>164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28" t="s">
        <v>51</v>
      </c>
      <c r="B25" s="28" t="s">
        <v>169</v>
      </c>
      <c r="C25" s="30">
        <v>10.0</v>
      </c>
      <c r="D25" s="28" t="s">
        <v>170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32" t="s">
        <v>53</v>
      </c>
      <c r="B26" s="32" t="s">
        <v>176</v>
      </c>
      <c r="C26" s="33">
        <v>8.0</v>
      </c>
      <c r="D26" s="32" t="s">
        <v>177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28" t="s">
        <v>62</v>
      </c>
      <c r="B27" s="28" t="s">
        <v>182</v>
      </c>
      <c r="C27" s="30">
        <v>8.0</v>
      </c>
      <c r="D27" s="28" t="s">
        <v>185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32" t="s">
        <v>46</v>
      </c>
      <c r="B28" s="32" t="s">
        <v>189</v>
      </c>
      <c r="C28" s="33">
        <v>7.0</v>
      </c>
      <c r="D28" s="32" t="s">
        <v>190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28" t="s">
        <v>48</v>
      </c>
      <c r="B29" s="28" t="s">
        <v>194</v>
      </c>
      <c r="C29" s="30">
        <v>7.0</v>
      </c>
      <c r="D29" s="28" t="s">
        <v>196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32" t="s">
        <v>17</v>
      </c>
      <c r="B30" s="32" t="s">
        <v>199</v>
      </c>
      <c r="C30" s="33">
        <v>6.0</v>
      </c>
      <c r="D30" s="32" t="s">
        <v>200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28" t="s">
        <v>79</v>
      </c>
      <c r="B31" s="28" t="s">
        <v>203</v>
      </c>
      <c r="C31" s="30">
        <v>5.0</v>
      </c>
      <c r="D31" s="28" t="s">
        <v>79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32" t="s">
        <v>75</v>
      </c>
      <c r="B32" s="32" t="s">
        <v>205</v>
      </c>
      <c r="C32" s="33">
        <v>5.0</v>
      </c>
      <c r="D32" s="32" t="s">
        <v>207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28" t="s">
        <v>84</v>
      </c>
      <c r="B33" s="28" t="s">
        <v>209</v>
      </c>
      <c r="C33" s="30">
        <v>4.0</v>
      </c>
      <c r="D33" s="28" t="s">
        <v>210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32" t="s">
        <v>28</v>
      </c>
      <c r="B34" s="32" t="s">
        <v>211</v>
      </c>
      <c r="C34" s="33">
        <v>3.0</v>
      </c>
      <c r="D34" s="32" t="s">
        <v>28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28" t="s">
        <v>57</v>
      </c>
      <c r="B35" s="28" t="s">
        <v>214</v>
      </c>
      <c r="C35" s="53">
        <v>3.0</v>
      </c>
      <c r="D35" s="28" t="s">
        <v>57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32" t="s">
        <v>92</v>
      </c>
      <c r="B36" s="32" t="s">
        <v>216</v>
      </c>
      <c r="C36" s="33">
        <v>2.0</v>
      </c>
      <c r="D36" s="32" t="s">
        <v>217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8" t="s">
        <v>82</v>
      </c>
      <c r="B37" s="28" t="s">
        <v>219</v>
      </c>
      <c r="C37" s="30">
        <v>1.0</v>
      </c>
      <c r="D37" s="28" t="s">
        <v>220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32" t="s">
        <v>175</v>
      </c>
      <c r="B38" s="32" t="s">
        <v>222</v>
      </c>
      <c r="C38" s="33">
        <v>1.0</v>
      </c>
      <c r="D38" s="32" t="s">
        <v>224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28" t="s">
        <v>179</v>
      </c>
      <c r="B39" s="28" t="s">
        <v>219</v>
      </c>
      <c r="C39" s="30">
        <v>1.0</v>
      </c>
      <c r="D39" s="28" t="s">
        <v>226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32" t="s">
        <v>180</v>
      </c>
      <c r="B40" s="32" t="s">
        <v>228</v>
      </c>
      <c r="C40" s="33">
        <v>1.0</v>
      </c>
      <c r="D40" s="32" t="s">
        <v>229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28" t="s">
        <v>181</v>
      </c>
      <c r="B41" s="28" t="s">
        <v>231</v>
      </c>
      <c r="C41" s="30">
        <v>1.0</v>
      </c>
      <c r="D41" s="28" t="s">
        <v>232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32" t="s">
        <v>183</v>
      </c>
      <c r="B42" s="32" t="s">
        <v>228</v>
      </c>
      <c r="C42" s="33">
        <v>1.0</v>
      </c>
      <c r="D42" s="32" t="s">
        <v>235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28" t="s">
        <v>186</v>
      </c>
      <c r="B43" s="28" t="s">
        <v>222</v>
      </c>
      <c r="C43" s="30">
        <v>1.0</v>
      </c>
      <c r="D43" s="28" t="s">
        <v>237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32" t="s">
        <v>101</v>
      </c>
      <c r="B44" s="32" t="s">
        <v>238</v>
      </c>
      <c r="C44" s="33">
        <v>1.0</v>
      </c>
      <c r="D44" s="32" t="s">
        <v>239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28" t="s">
        <v>187</v>
      </c>
      <c r="B45" s="54">
        <v>37.0</v>
      </c>
      <c r="C45" s="30">
        <v>1.0</v>
      </c>
      <c r="D45" s="28" t="s">
        <v>187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32" t="s">
        <v>116</v>
      </c>
      <c r="B46" s="32" t="s">
        <v>242</v>
      </c>
      <c r="C46" s="33">
        <v>1.0</v>
      </c>
      <c r="D46" s="32" t="s">
        <v>243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28" t="s">
        <v>188</v>
      </c>
      <c r="B47" s="28" t="s">
        <v>228</v>
      </c>
      <c r="C47" s="30">
        <v>1.0</v>
      </c>
      <c r="D47" s="28" t="s">
        <v>246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55" t="s">
        <v>247</v>
      </c>
      <c r="B49" s="55" t="s">
        <v>248</v>
      </c>
      <c r="C49" s="55" t="s">
        <v>249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</sheetData>
  <mergeCells count="2">
    <mergeCell ref="A1:D1"/>
    <mergeCell ref="A2:D2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</cols>
  <sheetData>
    <row r="1">
      <c r="B1" s="2" t="s">
        <v>0</v>
      </c>
      <c r="C1" s="2" t="s">
        <v>1</v>
      </c>
    </row>
    <row r="2">
      <c r="B2" s="4" t="s">
        <v>2</v>
      </c>
      <c r="C2" s="7">
        <f>44+21</f>
        <v>65</v>
      </c>
    </row>
    <row r="3">
      <c r="B3" s="4" t="s">
        <v>5</v>
      </c>
      <c r="C3" s="7">
        <f>50+9</f>
        <v>59</v>
      </c>
    </row>
    <row r="4">
      <c r="B4" s="4" t="s">
        <v>6</v>
      </c>
      <c r="C4" s="7">
        <f>40+3</f>
        <v>43</v>
      </c>
    </row>
    <row r="5">
      <c r="B5" s="4" t="s">
        <v>7</v>
      </c>
      <c r="C5" s="7">
        <f>39+1</f>
        <v>40</v>
      </c>
    </row>
    <row r="6">
      <c r="B6" s="4" t="s">
        <v>8</v>
      </c>
      <c r="C6" s="7">
        <f>38+1</f>
        <v>39</v>
      </c>
    </row>
    <row r="7">
      <c r="B7" s="4" t="s">
        <v>9</v>
      </c>
      <c r="C7" s="7">
        <f>34+1</f>
        <v>35</v>
      </c>
    </row>
    <row r="8">
      <c r="B8" s="4" t="s">
        <v>11</v>
      </c>
      <c r="C8" s="7">
        <f>17+17</f>
        <v>34</v>
      </c>
    </row>
    <row r="9">
      <c r="B9" s="4" t="s">
        <v>14</v>
      </c>
      <c r="C9" s="7">
        <f>24+10</f>
        <v>34</v>
      </c>
    </row>
    <row r="10">
      <c r="B10" s="4" t="s">
        <v>17</v>
      </c>
      <c r="C10" s="7">
        <f>6+27</f>
        <v>33</v>
      </c>
    </row>
    <row r="11">
      <c r="B11" s="4" t="s">
        <v>18</v>
      </c>
      <c r="C11" s="7">
        <f>30+3</f>
        <v>33</v>
      </c>
    </row>
    <row r="12">
      <c r="B12" s="4" t="s">
        <v>19</v>
      </c>
      <c r="C12" s="7">
        <f>32+1</f>
        <v>33</v>
      </c>
    </row>
    <row r="13">
      <c r="B13" s="4" t="s">
        <v>22</v>
      </c>
      <c r="C13" s="7">
        <f>19+11</f>
        <v>30</v>
      </c>
    </row>
    <row r="14">
      <c r="B14" s="4" t="s">
        <v>24</v>
      </c>
      <c r="C14" s="7">
        <f>26+4</f>
        <v>30</v>
      </c>
    </row>
    <row r="15">
      <c r="B15" s="4" t="s">
        <v>25</v>
      </c>
      <c r="C15" s="7">
        <f t="shared" ref="C15:C16" si="1">25+2</f>
        <v>27</v>
      </c>
    </row>
    <row r="16">
      <c r="B16" s="4" t="s">
        <v>27</v>
      </c>
      <c r="C16" s="7">
        <f t="shared" si="1"/>
        <v>27</v>
      </c>
    </row>
    <row r="17">
      <c r="B17" s="4" t="s">
        <v>28</v>
      </c>
      <c r="C17" s="7">
        <f>3+20</f>
        <v>23</v>
      </c>
    </row>
    <row r="18">
      <c r="B18" s="4" t="s">
        <v>33</v>
      </c>
      <c r="C18" s="7">
        <f>18+2</f>
        <v>20</v>
      </c>
    </row>
    <row r="19">
      <c r="B19" s="4" t="s">
        <v>34</v>
      </c>
      <c r="C19" s="7">
        <f>16+3</f>
        <v>19</v>
      </c>
    </row>
    <row r="20">
      <c r="B20" s="4" t="s">
        <v>37</v>
      </c>
      <c r="C20" s="7">
        <f>11+7</f>
        <v>18</v>
      </c>
    </row>
    <row r="21">
      <c r="B21" s="4" t="s">
        <v>40</v>
      </c>
      <c r="C21" s="7">
        <f>13+1</f>
        <v>14</v>
      </c>
    </row>
    <row r="22">
      <c r="B22" s="4" t="s">
        <v>42</v>
      </c>
      <c r="C22" s="7">
        <f>10+3</f>
        <v>13</v>
      </c>
    </row>
    <row r="23">
      <c r="B23" s="4" t="s">
        <v>46</v>
      </c>
      <c r="C23" s="7">
        <f t="shared" ref="C23:C24" si="2">7+5</f>
        <v>12</v>
      </c>
    </row>
    <row r="24">
      <c r="B24" s="4" t="s">
        <v>48</v>
      </c>
      <c r="C24" s="7">
        <f t="shared" si="2"/>
        <v>12</v>
      </c>
    </row>
    <row r="25">
      <c r="B25" s="4" t="s">
        <v>51</v>
      </c>
      <c r="C25" s="7">
        <f>10+1</f>
        <v>11</v>
      </c>
    </row>
    <row r="26">
      <c r="B26" s="4" t="s">
        <v>53</v>
      </c>
      <c r="C26" s="7">
        <f>8+2</f>
        <v>10</v>
      </c>
    </row>
    <row r="27">
      <c r="B27" s="4" t="s">
        <v>57</v>
      </c>
      <c r="C27" s="7">
        <f>3+6</f>
        <v>9</v>
      </c>
    </row>
    <row r="28">
      <c r="B28" s="4" t="s">
        <v>59</v>
      </c>
      <c r="C28" s="7">
        <f>7+2</f>
        <v>9</v>
      </c>
    </row>
    <row r="29">
      <c r="B29" s="4" t="s">
        <v>62</v>
      </c>
      <c r="C29" s="7">
        <f>8+1</f>
        <v>9</v>
      </c>
    </row>
    <row r="30">
      <c r="B30" s="40" t="s">
        <v>67</v>
      </c>
      <c r="C30" s="41">
        <v>7.0</v>
      </c>
    </row>
    <row r="31">
      <c r="B31" s="40" t="s">
        <v>71</v>
      </c>
      <c r="C31" s="41">
        <v>7.0</v>
      </c>
    </row>
    <row r="32">
      <c r="B32" s="40" t="s">
        <v>73</v>
      </c>
      <c r="C32" s="41">
        <v>6.0</v>
      </c>
    </row>
    <row r="33">
      <c r="B33" s="4" t="s">
        <v>75</v>
      </c>
      <c r="C33" s="7">
        <f t="shared" ref="C33:C34" si="3">5+1</f>
        <v>6</v>
      </c>
    </row>
    <row r="34">
      <c r="B34" s="4" t="s">
        <v>79</v>
      </c>
      <c r="C34" s="7">
        <f t="shared" si="3"/>
        <v>6</v>
      </c>
    </row>
    <row r="35">
      <c r="B35" s="4" t="s">
        <v>82</v>
      </c>
      <c r="C35" s="7">
        <f>1+4</f>
        <v>5</v>
      </c>
    </row>
    <row r="36">
      <c r="B36" s="4" t="s">
        <v>84</v>
      </c>
      <c r="C36" s="7">
        <f>4+1</f>
        <v>5</v>
      </c>
    </row>
    <row r="37">
      <c r="B37" s="40" t="s">
        <v>87</v>
      </c>
      <c r="C37" s="41">
        <v>4.0</v>
      </c>
    </row>
    <row r="38">
      <c r="B38" s="40" t="s">
        <v>88</v>
      </c>
      <c r="C38" s="41">
        <v>4.0</v>
      </c>
    </row>
    <row r="39">
      <c r="B39" s="4" t="s">
        <v>92</v>
      </c>
      <c r="C39" s="7">
        <f>2+2</f>
        <v>4</v>
      </c>
    </row>
    <row r="40">
      <c r="B40" s="40" t="s">
        <v>94</v>
      </c>
      <c r="C40" s="41">
        <v>3.0</v>
      </c>
    </row>
    <row r="41">
      <c r="B41" s="40" t="s">
        <v>96</v>
      </c>
      <c r="C41" s="41">
        <v>3.0</v>
      </c>
    </row>
    <row r="42">
      <c r="B42" s="40" t="s">
        <v>98</v>
      </c>
      <c r="C42" s="41">
        <v>3.0</v>
      </c>
    </row>
    <row r="43">
      <c r="B43" s="40" t="s">
        <v>100</v>
      </c>
      <c r="C43" s="41">
        <v>3.0</v>
      </c>
    </row>
    <row r="44">
      <c r="B44" s="4" t="s">
        <v>101</v>
      </c>
      <c r="C44" s="7">
        <f>1+2</f>
        <v>3</v>
      </c>
    </row>
    <row r="45">
      <c r="B45" s="40" t="s">
        <v>104</v>
      </c>
      <c r="C45" s="41">
        <v>2.0</v>
      </c>
    </row>
    <row r="46">
      <c r="B46" s="40" t="s">
        <v>106</v>
      </c>
      <c r="C46" s="41">
        <v>2.0</v>
      </c>
    </row>
    <row r="47">
      <c r="B47" s="40" t="s">
        <v>108</v>
      </c>
      <c r="C47" s="41">
        <v>2.0</v>
      </c>
    </row>
    <row r="48">
      <c r="B48" s="40" t="s">
        <v>109</v>
      </c>
      <c r="C48" s="41">
        <v>2.0</v>
      </c>
    </row>
    <row r="49">
      <c r="B49" s="40" t="s">
        <v>110</v>
      </c>
      <c r="C49" s="41">
        <v>2.0</v>
      </c>
    </row>
    <row r="50">
      <c r="B50" s="40" t="s">
        <v>112</v>
      </c>
      <c r="C50" s="41">
        <v>2.0</v>
      </c>
    </row>
    <row r="51">
      <c r="B51" s="40" t="s">
        <v>113</v>
      </c>
      <c r="C51" s="41">
        <v>2.0</v>
      </c>
    </row>
    <row r="52">
      <c r="B52" s="4" t="s">
        <v>116</v>
      </c>
      <c r="C52" s="7">
        <f>1+1</f>
        <v>2</v>
      </c>
    </row>
    <row r="53">
      <c r="B53" s="40" t="s">
        <v>117</v>
      </c>
      <c r="C53" s="41">
        <v>1.0</v>
      </c>
    </row>
    <row r="54">
      <c r="B54" s="40" t="s">
        <v>120</v>
      </c>
      <c r="C54" s="41">
        <v>1.0</v>
      </c>
    </row>
    <row r="55">
      <c r="B55" s="40" t="s">
        <v>122</v>
      </c>
      <c r="C55" s="41">
        <v>1.0</v>
      </c>
    </row>
    <row r="56">
      <c r="B56" s="40" t="s">
        <v>123</v>
      </c>
      <c r="C56" s="41">
        <v>1.0</v>
      </c>
    </row>
    <row r="57">
      <c r="B57" s="40" t="s">
        <v>124</v>
      </c>
      <c r="C57" s="41">
        <v>1.0</v>
      </c>
    </row>
    <row r="58">
      <c r="B58" s="40" t="s">
        <v>126</v>
      </c>
      <c r="C58" s="41">
        <v>1.0</v>
      </c>
    </row>
    <row r="59">
      <c r="B59" s="40" t="s">
        <v>127</v>
      </c>
      <c r="C59" s="41">
        <v>1.0</v>
      </c>
    </row>
    <row r="60">
      <c r="B60" s="44" t="s">
        <v>130</v>
      </c>
      <c r="C60" s="41">
        <v>1.0</v>
      </c>
    </row>
    <row r="61">
      <c r="B61" s="40" t="s">
        <v>132</v>
      </c>
      <c r="C61" s="41">
        <v>1.0</v>
      </c>
    </row>
    <row r="62">
      <c r="B62" s="40" t="s">
        <v>133</v>
      </c>
      <c r="C62" s="41">
        <v>1.0</v>
      </c>
    </row>
    <row r="63">
      <c r="B63" s="40" t="s">
        <v>136</v>
      </c>
      <c r="C63" s="41">
        <v>1.0</v>
      </c>
    </row>
    <row r="64">
      <c r="B64" s="40" t="s">
        <v>137</v>
      </c>
      <c r="C64" s="41">
        <v>1.0</v>
      </c>
    </row>
    <row r="65">
      <c r="B65" s="40" t="s">
        <v>139</v>
      </c>
      <c r="C65" s="41">
        <v>1.0</v>
      </c>
    </row>
    <row r="66">
      <c r="B66" s="40" t="s">
        <v>140</v>
      </c>
      <c r="C66" s="41">
        <v>1.0</v>
      </c>
    </row>
    <row r="67">
      <c r="B67" s="40" t="s">
        <v>141</v>
      </c>
      <c r="C67" s="41">
        <v>1.0</v>
      </c>
    </row>
    <row r="68">
      <c r="B68" s="40" t="s">
        <v>142</v>
      </c>
      <c r="C68" s="41">
        <v>1.0</v>
      </c>
    </row>
    <row r="69">
      <c r="B69" s="40" t="s">
        <v>146</v>
      </c>
      <c r="C69" s="41">
        <v>1.0</v>
      </c>
    </row>
    <row r="70">
      <c r="B70" s="40" t="s">
        <v>147</v>
      </c>
      <c r="C70" s="41">
        <v>1.0</v>
      </c>
    </row>
    <row r="71">
      <c r="B71" s="40" t="s">
        <v>148</v>
      </c>
      <c r="C71" s="41">
        <v>1.0</v>
      </c>
    </row>
    <row r="72">
      <c r="B72" s="40" t="s">
        <v>149</v>
      </c>
      <c r="C72" s="41">
        <v>1.0</v>
      </c>
    </row>
    <row r="73">
      <c r="B73" s="40" t="s">
        <v>150</v>
      </c>
      <c r="C73" s="41">
        <v>1.0</v>
      </c>
    </row>
    <row r="74">
      <c r="B74" s="40" t="s">
        <v>152</v>
      </c>
      <c r="C74" s="41">
        <v>1.0</v>
      </c>
    </row>
    <row r="75">
      <c r="B75" s="40" t="s">
        <v>154</v>
      </c>
      <c r="C75" s="41">
        <v>1.0</v>
      </c>
    </row>
    <row r="76">
      <c r="B76" s="40" t="s">
        <v>156</v>
      </c>
      <c r="C76" s="41">
        <v>1.0</v>
      </c>
    </row>
    <row r="77">
      <c r="B77" s="40" t="s">
        <v>157</v>
      </c>
      <c r="C77" s="41">
        <v>1.0</v>
      </c>
    </row>
    <row r="78">
      <c r="B78" s="40" t="s">
        <v>158</v>
      </c>
      <c r="C78" s="41">
        <v>1.0</v>
      </c>
    </row>
    <row r="79">
      <c r="B79" s="40" t="s">
        <v>159</v>
      </c>
      <c r="C79" s="41">
        <v>1.0</v>
      </c>
    </row>
    <row r="80">
      <c r="B80" s="40" t="s">
        <v>161</v>
      </c>
      <c r="C80" s="41">
        <v>1.0</v>
      </c>
    </row>
    <row r="81">
      <c r="B81" s="40" t="s">
        <v>163</v>
      </c>
      <c r="C81" s="41">
        <v>1.0</v>
      </c>
    </row>
    <row r="82">
      <c r="B82" s="40" t="s">
        <v>165</v>
      </c>
      <c r="C82" s="41">
        <v>1.0</v>
      </c>
    </row>
    <row r="83">
      <c r="B83" s="40" t="s">
        <v>167</v>
      </c>
      <c r="C83" s="41">
        <v>1.0</v>
      </c>
    </row>
    <row r="84">
      <c r="B84" s="40" t="s">
        <v>168</v>
      </c>
      <c r="C84" s="41">
        <v>1.0</v>
      </c>
    </row>
    <row r="85">
      <c r="B85" s="40" t="s">
        <v>171</v>
      </c>
      <c r="C85" s="41">
        <v>1.0</v>
      </c>
    </row>
    <row r="86">
      <c r="B86" s="40" t="s">
        <v>173</v>
      </c>
      <c r="C86" s="41">
        <v>1.0</v>
      </c>
    </row>
    <row r="87">
      <c r="B87" s="40" t="s">
        <v>174</v>
      </c>
      <c r="C87" s="41">
        <v>1.0</v>
      </c>
    </row>
    <row r="88">
      <c r="B88" s="45" t="s">
        <v>175</v>
      </c>
      <c r="C88" s="41">
        <v>1.0</v>
      </c>
    </row>
    <row r="89">
      <c r="B89" s="45" t="s">
        <v>179</v>
      </c>
      <c r="C89" s="41">
        <v>1.0</v>
      </c>
    </row>
    <row r="90">
      <c r="B90" s="45" t="s">
        <v>180</v>
      </c>
      <c r="C90" s="41">
        <v>1.0</v>
      </c>
    </row>
    <row r="91">
      <c r="B91" s="45" t="s">
        <v>181</v>
      </c>
      <c r="C91" s="41">
        <v>1.0</v>
      </c>
    </row>
    <row r="92">
      <c r="B92" s="45" t="s">
        <v>183</v>
      </c>
      <c r="C92" s="41">
        <v>1.0</v>
      </c>
    </row>
    <row r="93">
      <c r="B93" s="45" t="s">
        <v>186</v>
      </c>
      <c r="C93" s="41">
        <v>1.0</v>
      </c>
    </row>
    <row r="94">
      <c r="B94" s="45" t="s">
        <v>187</v>
      </c>
      <c r="C94" s="41">
        <v>1.0</v>
      </c>
    </row>
    <row r="95">
      <c r="B95" s="45" t="s">
        <v>188</v>
      </c>
      <c r="C95" s="41">
        <v>1.0</v>
      </c>
    </row>
    <row r="96">
      <c r="B96" s="48">
        <v>94.0</v>
      </c>
      <c r="C96" s="48">
        <v>869.0</v>
      </c>
    </row>
    <row r="98">
      <c r="B98" s="2" t="s">
        <v>191</v>
      </c>
      <c r="C98" s="2" t="s">
        <v>193</v>
      </c>
    </row>
    <row r="99">
      <c r="B99" s="49" t="s">
        <v>195</v>
      </c>
      <c r="C99" s="7">
        <v>35.0</v>
      </c>
    </row>
    <row r="100">
      <c r="B100" s="50" t="s">
        <v>198</v>
      </c>
      <c r="C100" s="7">
        <v>51.0</v>
      </c>
    </row>
    <row r="101">
      <c r="B101" s="51" t="s">
        <v>201</v>
      </c>
      <c r="C101" s="7">
        <v>8.0</v>
      </c>
    </row>
  </sheetData>
  <drawing r:id="rId1"/>
</worksheet>
</file>