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xr:revisionPtr revIDLastSave="0" documentId="11_BF736BFE59D51D0178C95FCF59E9E0360D68B493" xr6:coauthVersionLast="47" xr6:coauthVersionMax="47" xr10:uidLastSave="{00000000-0000-0000-0000-000000000000}"/>
  <bookViews>
    <workbookView xWindow="0" yWindow="0" windowWidth="0" windowHeight="0" xr2:uid="{00000000-000D-0000-FFFF-FFFF00000000}"/>
  </bookViews>
  <sheets>
    <sheet name="Clustered Concerns" sheetId="1" r:id="rId1"/>
    <sheet name="Method &amp; Sourc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 l="1"/>
  <c r="E5" i="2"/>
  <c r="E8" i="2" s="1"/>
  <c r="F8" i="2" s="1"/>
  <c r="G4" i="1"/>
  <c r="C4" i="1"/>
  <c r="A4" i="1"/>
</calcChain>
</file>

<file path=xl/sharedStrings.xml><?xml version="1.0" encoding="utf-8"?>
<sst xmlns="http://schemas.openxmlformats.org/spreadsheetml/2006/main" count="1980" uniqueCount="622">
  <si>
    <t>Semantic Clustering of Software Engineering Ethical Concerns</t>
  </si>
  <si>
    <t>Interpretation: each concern has one Primary semantic home. Cross-listed rows make justified multi-category membership explicit. Original labels and IDs are preserved.</t>
  </si>
  <si>
    <t>Primary assignments</t>
  </si>
  <si>
    <t>Cross-listed assignments</t>
  </si>
  <si>
    <t>Clusters</t>
  </si>
  <si>
    <t>Total assignment rows</t>
  </si>
  <si>
    <t>Cluster ID</t>
  </si>
  <si>
    <t>Cluster Category</t>
  </si>
  <si>
    <t>Assignment Type</t>
  </si>
  <si>
    <t>Concern ID</t>
  </si>
  <si>
    <t>Original Concern</t>
  </si>
  <si>
    <t>Normalised Form</t>
  </si>
  <si>
    <t>Semantic Relation</t>
  </si>
  <si>
    <t>Primary Cluster</t>
  </si>
  <si>
    <t>Other Memberships</t>
  </si>
  <si>
    <t>Confidence</t>
  </si>
  <si>
    <t>Assignment Note</t>
  </si>
  <si>
    <t>Source Nos.</t>
  </si>
  <si>
    <t>C01</t>
  </si>
  <si>
    <t>Transparency, Explainability &amp; Intelligibility</t>
  </si>
  <si>
    <t>Primary</t>
  </si>
  <si>
    <t>Transparency</t>
  </si>
  <si>
    <t>Umbrella concept</t>
  </si>
  <si>
    <t>High</t>
  </si>
  <si>
    <t>Best semantic home under Transparency, Explainability &amp; Intelligibility.</t>
  </si>
  <si>
    <t>[1], [2], [3], [8], [12], [15]</t>
  </si>
  <si>
    <t>Explainability</t>
  </si>
  <si>
    <t>Near-synonym / explanatory mechanism</t>
  </si>
  <si>
    <t>Explicability</t>
  </si>
  <si>
    <t>Near-synonym</t>
  </si>
  <si>
    <t>Interpretability</t>
  </si>
  <si>
    <t>Cognitive accessibility of system logic</t>
  </si>
  <si>
    <t>Understandability</t>
  </si>
  <si>
    <t>Audience-level comprehension</t>
  </si>
  <si>
    <t>Openness</t>
  </si>
  <si>
    <t>Disclosure-oriented semantic neighbour</t>
  </si>
  <si>
    <t>C17, C21</t>
  </si>
  <si>
    <t>Medium</t>
  </si>
  <si>
    <t>Observability</t>
  </si>
  <si>
    <t>Operational visibility</t>
  </si>
  <si>
    <t>C02, C07</t>
  </si>
  <si>
    <t>Cross-listed</t>
  </si>
  <si>
    <t>Traceability</t>
  </si>
  <si>
    <t>Cross-cutting semantic or functional relation</t>
  </si>
  <si>
    <t>C02</t>
  </si>
  <si>
    <t>C02, C03</t>
  </si>
  <si>
    <t>Also relevant to Transparency, Explainability &amp; Intelligibility, but its primary semantic home is C02 — Accountability, Responsibility &amp; Redress.</t>
  </si>
  <si>
    <t>Communication</t>
  </si>
  <si>
    <t>C17</t>
  </si>
  <si>
    <t>Also relevant to Transparency, Explainability &amp; Intelligibility, but its primary semantic home is C17 — Participation, Communication &amp; Awareness.</t>
  </si>
  <si>
    <t>Software Freedom</t>
  </si>
  <si>
    <t>C21</t>
  </si>
  <si>
    <t>C21, C11</t>
  </si>
  <si>
    <t>Also relevant to Transparency, Explainability &amp; Intelligibility, but its primary semantic home is C21 — Intellectual Property, Authorship &amp; Software Freedom.</t>
  </si>
  <si>
    <t>Accountability, Responsibility &amp; Redress</t>
  </si>
  <si>
    <t>Accountability</t>
  </si>
  <si>
    <t>Core answerability concept</t>
  </si>
  <si>
    <t>Best semantic home under Accountability, Responsibility &amp; Redress.</t>
  </si>
  <si>
    <t>[2], [3], [5], [12], [15]</t>
  </si>
  <si>
    <t>Evidence and attribution mechanism</t>
  </si>
  <si>
    <t>C01, C03</t>
  </si>
  <si>
    <t>Responsibility</t>
  </si>
  <si>
    <t>Near-synonym with broader moral scope</t>
  </si>
  <si>
    <t>Contestability</t>
  </si>
  <si>
    <t>Challenge and redress mechanism</t>
  </si>
  <si>
    <t>C11, C09</t>
  </si>
  <si>
    <t>Liability</t>
  </si>
  <si>
    <t>Legal attribution of responsibility</t>
  </si>
  <si>
    <t>C03</t>
  </si>
  <si>
    <t>Oversight</t>
  </si>
  <si>
    <t>Supervisory control mechanism</t>
  </si>
  <si>
    <t>C11, C03</t>
  </si>
  <si>
    <t>Conflict of Interest</t>
  </si>
  <si>
    <t>C19</t>
  </si>
  <si>
    <t>C19, C20</t>
  </si>
  <si>
    <t>Also relevant to Accountability, Responsibility &amp; Redress, but its primary semantic home is C19 — Professional &amp; Work Ethics.</t>
  </si>
  <si>
    <t>Human Agency</t>
  </si>
  <si>
    <t>C11</t>
  </si>
  <si>
    <t>Also relevant to Accountability, Responsibility &amp; Redress, but its primary semantic home is C11 — Autonomy, Agency, Freedom &amp; Consent.</t>
  </si>
  <si>
    <t>C01, C07</t>
  </si>
  <si>
    <t>Also relevant to Accountability, Responsibility &amp; Redress, but its primary semantic home is C01 — Transparency, Explainability &amp; Intelligibility.</t>
  </si>
  <si>
    <t>Governance, Compliance &amp; Regulation</t>
  </si>
  <si>
    <t>Compliance</t>
  </si>
  <si>
    <t>Rule-conformance concept</t>
  </si>
  <si>
    <t>Best semantic home under Governance, Compliance &amp; Regulation.</t>
  </si>
  <si>
    <t>[2], [3], [5], [6], [15]</t>
  </si>
  <si>
    <t>Data Governance</t>
  </si>
  <si>
    <t>Lifecycle governance mechanism</t>
  </si>
  <si>
    <t>C04, C08</t>
  </si>
  <si>
    <t>Regulatory Approaches</t>
  </si>
  <si>
    <t>Regulatory-policy mechanism</t>
  </si>
  <si>
    <t>C02, C01</t>
  </si>
  <si>
    <t>Also relevant to Governance, Compliance &amp; Regulation, but its primary semantic home is C02 — Accountability, Responsibility &amp; Redress.</t>
  </si>
  <si>
    <t>Data Protection</t>
  </si>
  <si>
    <t>C04</t>
  </si>
  <si>
    <t>Also relevant to Governance, Compliance &amp; Regulation, but its primary semantic home is C04 — Privacy, Data Protection &amp; Confidentiality.</t>
  </si>
  <si>
    <t>C02, C11</t>
  </si>
  <si>
    <t>Lack of Data</t>
  </si>
  <si>
    <t>C08</t>
  </si>
  <si>
    <t>Also relevant to Governance, Compliance &amp; Regulation, but its primary semantic home is C08 — Accuracy, Integrity &amp; Data Quality.</t>
  </si>
  <si>
    <t>User Data Collection</t>
  </si>
  <si>
    <t>Privacy, Data Protection &amp; Confidentiality</t>
  </si>
  <si>
    <t>Privacy</t>
  </si>
  <si>
    <t>Core informational self-determination concept</t>
  </si>
  <si>
    <t>Best semantic home under Privacy, Data Protection &amp; Confidentiality.</t>
  </si>
  <si>
    <t>[2], [3], [6], [11]</t>
  </si>
  <si>
    <t>Legal/organizational protection concept</t>
  </si>
  <si>
    <t>Anonymity</t>
  </si>
  <si>
    <t>Identity-concealment mechanism</t>
  </si>
  <si>
    <t>Confidentiality</t>
  </si>
  <si>
    <t>Restriction on disclosure</t>
  </si>
  <si>
    <t>C05</t>
  </si>
  <si>
    <t>Data-practice concern</t>
  </si>
  <si>
    <t>Encryption</t>
  </si>
  <si>
    <t>Also relevant to Privacy, Data Protection &amp; Confidentiality, but its primary semantic home is C05 — Security &amp; Misuse Prevention.</t>
  </si>
  <si>
    <t>Informed Consent</t>
  </si>
  <si>
    <t>Also relevant to Privacy, Data Protection &amp; Confidentiality, but its primary semantic home is C11 — Autonomy, Agency, Freedom &amp; Consent.</t>
  </si>
  <si>
    <t>C03, C08</t>
  </si>
  <si>
    <t>Also relevant to Privacy, Data Protection &amp; Confidentiality, but its primary semantic home is C03 — Governance, Compliance &amp; Regulation.</t>
  </si>
  <si>
    <t>Monetization</t>
  </si>
  <si>
    <t>C20</t>
  </si>
  <si>
    <t>C20, C23</t>
  </si>
  <si>
    <t>Also relevant to Privacy, Data Protection &amp; Confidentiality, but its primary semantic home is C20 — Business, Commerce &amp; Monetisation Ethics.</t>
  </si>
  <si>
    <t>Protection</t>
  </si>
  <si>
    <t>C06</t>
  </si>
  <si>
    <t>C06, C05</t>
  </si>
  <si>
    <t>Low</t>
  </si>
  <si>
    <t>Also relevant to Privacy, Data Protection &amp; Confidentiality, but its primary semantic home is C06 — Safety, Harm Prevention &amp; Controlled Failure.</t>
  </si>
  <si>
    <t>Security &amp; Misuse Prevention</t>
  </si>
  <si>
    <t>Security</t>
  </si>
  <si>
    <t>Core protection property</t>
  </si>
  <si>
    <t>Best semantic home under Security &amp; Misuse Prevention.</t>
  </si>
  <si>
    <t>[3], [4], [5], [11]</t>
  </si>
  <si>
    <t>Technical security mechanism</t>
  </si>
  <si>
    <t>Computer Abuse</t>
  </si>
  <si>
    <t>Abusive conduct risk</t>
  </si>
  <si>
    <t>Malicious Use</t>
  </si>
  <si>
    <t>Adversarial-use risk</t>
  </si>
  <si>
    <t>Integrity</t>
  </si>
  <si>
    <t>C08, C14</t>
  </si>
  <si>
    <t>Also relevant to Security &amp; Misuse Prevention, but its primary semantic home is C08 — Accuracy, Integrity &amp; Data Quality.</t>
  </si>
  <si>
    <t>Also relevant to Security &amp; Misuse Prevention, but its primary semantic home is C04 — Privacy, Data Protection &amp; Confidentiality.</t>
  </si>
  <si>
    <t>C06, C04</t>
  </si>
  <si>
    <t>Also relevant to Security &amp; Misuse Prevention, but its primary semantic home is C06 — Safety, Harm Prevention &amp; Controlled Failure.</t>
  </si>
  <si>
    <t>Resilience</t>
  </si>
  <si>
    <t>C07</t>
  </si>
  <si>
    <t>C07, C06</t>
  </si>
  <si>
    <t>Also relevant to Security &amp; Misuse Prevention, but its primary semantic home is C07 — Reliability, Robustness &amp; Resilience.</t>
  </si>
  <si>
    <t>Safety, Harm Prevention &amp; Controlled Failure</t>
  </si>
  <si>
    <t>Safety</t>
  </si>
  <si>
    <t>Core harm-avoidance property</t>
  </si>
  <si>
    <t>Best semantic home under Safety, Harm Prevention &amp; Controlled Failure.</t>
  </si>
  <si>
    <t>[2], [3], [4], [9], [12]</t>
  </si>
  <si>
    <t>Prevention of Harm/Do no Harm</t>
  </si>
  <si>
    <t>Prevention of Harm / Do No Harm</t>
  </si>
  <si>
    <t>Direct normative formulation</t>
  </si>
  <si>
    <t>Non-Maleficence</t>
  </si>
  <si>
    <t>Non-maleficence</t>
  </si>
  <si>
    <t>Near-synonym in normative ethics</t>
  </si>
  <si>
    <t>Broad protective outcome</t>
  </si>
  <si>
    <t>C04, C05</t>
  </si>
  <si>
    <t>Controlled Failure</t>
  </si>
  <si>
    <t>Failure-containment mechanism</t>
  </si>
  <si>
    <t>Technical Robustness</t>
  </si>
  <si>
    <t>Also relevant to Safety, Harm Prevention &amp; Controlled Failure, but its primary semantic home is C07 — Reliability, Robustness &amp; Resilience.</t>
  </si>
  <si>
    <t>C07, C05</t>
  </si>
  <si>
    <t>Reliability, Robustness &amp; Resilience</t>
  </si>
  <si>
    <t>Reliability</t>
  </si>
  <si>
    <t>Core operational dependability concept</t>
  </si>
  <si>
    <t>Best semantic home under Reliability, Robustness &amp; Resilience.</t>
  </si>
  <si>
    <t>[2], [3], [10], [12]</t>
  </si>
  <si>
    <t>Resistance to disturbance/adversity</t>
  </si>
  <si>
    <t>Dependability</t>
  </si>
  <si>
    <t>Near-synonym / umbrella quality</t>
  </si>
  <si>
    <t>Consistency</t>
  </si>
  <si>
    <t>Behavioural stability</t>
  </si>
  <si>
    <t>Recovery and adaptation capacity</t>
  </si>
  <si>
    <t>C05, C06</t>
  </si>
  <si>
    <t>Accuracy</t>
  </si>
  <si>
    <t>Also relevant to Reliability, Robustness &amp; Resilience, but its primary semantic home is C08 — Accuracy, Integrity &amp; Data Quality.</t>
  </si>
  <si>
    <t>Trustworthiness</t>
  </si>
  <si>
    <t>C14</t>
  </si>
  <si>
    <t>Also relevant to Reliability, Robustness &amp; Resilience, but its primary semantic home is C14 — Trust &amp; Trustworthiness.</t>
  </si>
  <si>
    <t>C01, C02</t>
  </si>
  <si>
    <t>Also relevant to Reliability, Robustness &amp; Resilience, but its primary semantic home is C01 — Transparency, Explainability &amp; Intelligibility.</t>
  </si>
  <si>
    <t>Also relevant to Reliability, Robustness &amp; Resilience, but its primary semantic home is C06 — Safety, Harm Prevention &amp; Controlled Failure.</t>
  </si>
  <si>
    <t>Accuracy, Integrity &amp; Data Quality</t>
  </si>
  <si>
    <t>Information correctness/completeness property</t>
  </si>
  <si>
    <t>C05, C14</t>
  </si>
  <si>
    <t>Best semantic home under Accuracy, Integrity &amp; Data Quality.</t>
  </si>
  <si>
    <t>[3], [6], [10], [11]</t>
  </si>
  <si>
    <t>Output correctness</t>
  </si>
  <si>
    <t>Data sufficiency risk</t>
  </si>
  <si>
    <t>Data Quality</t>
  </si>
  <si>
    <t>Fitness and quality of data</t>
  </si>
  <si>
    <t>C03, C04</t>
  </si>
  <si>
    <t>Also relevant to Accuracy, Integrity &amp; Data Quality, but its primary semantic home is C03 — Governance, Compliance &amp; Regulation.</t>
  </si>
  <si>
    <t>Also relevant to Accuracy, Integrity &amp; Data Quality, but its primary semantic home is C07 — Reliability, Robustness &amp; Resilience.</t>
  </si>
  <si>
    <t>C09</t>
  </si>
  <si>
    <t>Fairness, Justice, Equality &amp; Non-discrimination</t>
  </si>
  <si>
    <t>Fairness</t>
  </si>
  <si>
    <t>Umbrella distributive/procedural fairness concept</t>
  </si>
  <si>
    <t>Best semantic home under Fairness, Justice, Equality &amp; Non-discrimination.</t>
  </si>
  <si>
    <t>[2], [3], [4], [7], [8], [9], [13]</t>
  </si>
  <si>
    <t>Equality</t>
  </si>
  <si>
    <t>Equal status/treatment</t>
  </si>
  <si>
    <t>Bias</t>
  </si>
  <si>
    <t>Negative-pole risk to fairness</t>
  </si>
  <si>
    <t>C10</t>
  </si>
  <si>
    <t>Justice</t>
  </si>
  <si>
    <t>Broader normative justice concept</t>
  </si>
  <si>
    <t>Equity</t>
  </si>
  <si>
    <t>Corrective/substantive fairness</t>
  </si>
  <si>
    <t>Non-Discrimination</t>
  </si>
  <si>
    <t>Non-discrimination</t>
  </si>
  <si>
    <t>Prohibition of differential treatment</t>
  </si>
  <si>
    <t>Inequality</t>
  </si>
  <si>
    <t>Negative-pole distributional risk</t>
  </si>
  <si>
    <t>C22</t>
  </si>
  <si>
    <t>Diversity</t>
  </si>
  <si>
    <t>Also relevant to Fairness, Justice, Equality &amp; Non-discrimination, but its primary semantic home is C10 — Diversity, Inclusion &amp; Accessibility.</t>
  </si>
  <si>
    <t>Also relevant to Fairness, Justice, Equality &amp; Non-discrimination, but its primary semantic home is C02 — Accountability, Responsibility &amp; Redress.</t>
  </si>
  <si>
    <t>Social Justice Issues</t>
  </si>
  <si>
    <t>Social Justice</t>
  </si>
  <si>
    <t>Also relevant to Fairness, Justice, Equality &amp; Non-discrimination, but its primary semantic home is C22 — Socioeconomic, Labour &amp; Social Justice Impacts.</t>
  </si>
  <si>
    <t>Diversity, Inclusion &amp; Accessibility</t>
  </si>
  <si>
    <t>Representation of difference</t>
  </si>
  <si>
    <t>Best semantic home under Diversity, Inclusion &amp; Accessibility.</t>
  </si>
  <si>
    <t>[2], [4], [7], [8], [13]</t>
  </si>
  <si>
    <t>Plurality</t>
  </si>
  <si>
    <t>Multiplicity of viewpoints</t>
  </si>
  <si>
    <t>C24</t>
  </si>
  <si>
    <t>Accessibility</t>
  </si>
  <si>
    <t>Inclusive access property</t>
  </si>
  <si>
    <t>C16</t>
  </si>
  <si>
    <t>Inclusiveness</t>
  </si>
  <si>
    <t>State of being inclusive</t>
  </si>
  <si>
    <t>Inclusion</t>
  </si>
  <si>
    <t>Practice/outcome of inclusion</t>
  </si>
  <si>
    <t>Also relevant to Diversity, Inclusion &amp; Accessibility, but its primary semantic home is C09 — Fairness, Justice, Equality &amp; Non-discrimination.</t>
  </si>
  <si>
    <t>Participation</t>
  </si>
  <si>
    <t>Also relevant to Diversity, Inclusion &amp; Accessibility, but its primary semantic home is C17 — Participation, Communication &amp; Awareness.</t>
  </si>
  <si>
    <t>Access</t>
  </si>
  <si>
    <t>Also relevant to Diversity, Inclusion &amp; Accessibility, but its primary semantic home is C16 — Utility, Usability &amp; Access.</t>
  </si>
  <si>
    <t>Individual Differences</t>
  </si>
  <si>
    <t>C18</t>
  </si>
  <si>
    <t>Also relevant to Diversity, Inclusion &amp; Accessibility, but its primary semantic home is C18 — Context, Culture &amp; Individual Differences.</t>
  </si>
  <si>
    <t>Cultural Sensitivity</t>
  </si>
  <si>
    <t>Autonomy, Agency, Freedom &amp; Consent</t>
  </si>
  <si>
    <t>Voluntary informed choice mechanism</t>
  </si>
  <si>
    <t>Best semantic home under Autonomy, Agency, Freedom &amp; Consent.</t>
  </si>
  <si>
    <t>[2], [7], [9], [12], [13]</t>
  </si>
  <si>
    <t>Autonomy</t>
  </si>
  <si>
    <t>Core self-determination concept</t>
  </si>
  <si>
    <t>Respect for Human Autonomy</t>
  </si>
  <si>
    <t>Explicit normative formulation</t>
  </si>
  <si>
    <t>C12</t>
  </si>
  <si>
    <t>Capacity to act and decide</t>
  </si>
  <si>
    <t>Freedom</t>
  </si>
  <si>
    <t>Broader liberty concept</t>
  </si>
  <si>
    <t>C02, C09</t>
  </si>
  <si>
    <t>Also relevant to Autonomy, Agency, Freedom &amp; Consent, but its primary semantic home is C02 — Accountability, Responsibility &amp; Redress.</t>
  </si>
  <si>
    <t>Speech Issues</t>
  </si>
  <si>
    <t>Speech-related Issues</t>
  </si>
  <si>
    <t>C24, C17</t>
  </si>
  <si>
    <t>Also relevant to Autonomy, Agency, Freedom &amp; Consent, but its primary semantic home is C24 — Speech, Expression &amp; Pluralism.</t>
  </si>
  <si>
    <t>Self-Conception</t>
  </si>
  <si>
    <t>C12, C23</t>
  </si>
  <si>
    <t>Also relevant to Autonomy, Agency, Freedom &amp; Consent, but its primary semantic home is C12 — Human Dignity, Humanity &amp; Selfhood.</t>
  </si>
  <si>
    <t>C21, C01</t>
  </si>
  <si>
    <t>Also relevant to Autonomy, Agency, Freedom &amp; Consent, but its primary semantic home is C21 — Intellectual Property, Authorship &amp; Software Freedom.</t>
  </si>
  <si>
    <t>Human Dignity, Humanity &amp; Selfhood</t>
  </si>
  <si>
    <t>Dignity</t>
  </si>
  <si>
    <t>Inherent worth</t>
  </si>
  <si>
    <t>Best semantic home under Human Dignity, Humanity &amp; Selfhood.</t>
  </si>
  <si>
    <t>[7], [13], [14]</t>
  </si>
  <si>
    <t>Humanity</t>
  </si>
  <si>
    <t>Human-centred moral referent</t>
  </si>
  <si>
    <t>C13</t>
  </si>
  <si>
    <t>Identity and self-understanding</t>
  </si>
  <si>
    <t>C11, C23</t>
  </si>
  <si>
    <t>Also relevant to Human Dignity, Humanity &amp; Selfhood, but its primary semantic home is C11 — Autonomy, Agency, Freedom &amp; Consent.</t>
  </si>
  <si>
    <t>Beneficence, Care, Well-being &amp; Common Good</t>
  </si>
  <si>
    <t>Solidarity</t>
  </si>
  <si>
    <t>Mutual support and shared responsibility</t>
  </si>
  <si>
    <t>Best semantic home under Beneficence, Care, Well-being &amp; Common Good.</t>
  </si>
  <si>
    <t>[4], [7], [8], [9], [14]</t>
  </si>
  <si>
    <t>Well-Being/Welfare</t>
  </si>
  <si>
    <t>Well-being / Welfare</t>
  </si>
  <si>
    <t>Positive welfare outcome</t>
  </si>
  <si>
    <t>C15</t>
  </si>
  <si>
    <t>Beneficence</t>
  </si>
  <si>
    <t>Duty to promote benefit</t>
  </si>
  <si>
    <t>Common goods</t>
  </si>
  <si>
    <t>Common Good(s)</t>
  </si>
  <si>
    <t>Collective-benefit orientation</t>
  </si>
  <si>
    <t>Quality of Life</t>
  </si>
  <si>
    <t>Human flourishing outcome</t>
  </si>
  <si>
    <t>Care</t>
  </si>
  <si>
    <t>Relational ethical orientation</t>
  </si>
  <si>
    <t>Also relevant to Beneficence, Care, Well-being &amp; Common Good, but its primary semantic home is C12 — Human Dignity, Humanity &amp; Selfhood.</t>
  </si>
  <si>
    <t>Retention and Addiction</t>
  </si>
  <si>
    <t>C23</t>
  </si>
  <si>
    <t>C23, C20</t>
  </si>
  <si>
    <t>Also relevant to Beneficence, Care, Well-being &amp; Common Good, but its primary semantic home is C23 — Behavioural Influence, Retention &amp; Addiction.</t>
  </si>
  <si>
    <t>Trust &amp; Trustworthiness</t>
  </si>
  <si>
    <t>Trust</t>
  </si>
  <si>
    <t>Relational confidence</t>
  </si>
  <si>
    <t>Best semantic home under Trust &amp; Trustworthiness.</t>
  </si>
  <si>
    <t>[3], [4], [8], [14]</t>
  </si>
  <si>
    <t>Property of being worthy of trust</t>
  </si>
  <si>
    <t>C08, C05</t>
  </si>
  <si>
    <t>Also relevant to Trust &amp; Trustworthiness, but its primary semantic home is C08 — Accuracy, Integrity &amp; Data Quality.</t>
  </si>
  <si>
    <t>Sustainability &amp; Environmental Impact</t>
  </si>
  <si>
    <t>Sustainability</t>
  </si>
  <si>
    <t>Long-term viability</t>
  </si>
  <si>
    <t>Best semantic home under Sustainability &amp; Environmental Impact.</t>
  </si>
  <si>
    <t>[2], [7], [8], [14]</t>
  </si>
  <si>
    <t>Environmental Impact</t>
  </si>
  <si>
    <t>Ecological consequence</t>
  </si>
  <si>
    <t>Also relevant to Sustainability &amp; Environmental Impact, but its primary semantic home is C13 — Beneficence, Care, Well-being &amp; Common Good.</t>
  </si>
  <si>
    <t>Utility, Usability &amp; Access</t>
  </si>
  <si>
    <t>Utility</t>
  </si>
  <si>
    <t>Fitness for intended purpose</t>
  </si>
  <si>
    <t>Best semantic home under Utility, Usability &amp; Access.</t>
  </si>
  <si>
    <t>[4], [10]</t>
  </si>
  <si>
    <t>Usability</t>
  </si>
  <si>
    <t>Ease and effectiveness of use</t>
  </si>
  <si>
    <t>Practical availability</t>
  </si>
  <si>
    <t>Usefulness</t>
  </si>
  <si>
    <t>Near-synonym of utility</t>
  </si>
  <si>
    <t>Also relevant to Utility, Usability &amp; Access, but its primary semantic home is C10 — Diversity, Inclusion &amp; Accessibility.</t>
  </si>
  <si>
    <t>Participation, Communication &amp; Awareness</t>
  </si>
  <si>
    <t>Stakeholder involvement</t>
  </si>
  <si>
    <t>Best semantic home under Participation, Communication &amp; Awareness.</t>
  </si>
  <si>
    <t>[2], [4], [7], [15]</t>
  </si>
  <si>
    <t>Awareness</t>
  </si>
  <si>
    <t>Knowledge/recognition prerequisite</t>
  </si>
  <si>
    <t>Information exchange practice</t>
  </si>
  <si>
    <t>C24, C11</t>
  </si>
  <si>
    <t>Also relevant to Participation, Communication &amp; Awareness, but its primary semantic home is C24 — Speech, Expression &amp; Pluralism.</t>
  </si>
  <si>
    <t>C01, C21</t>
  </si>
  <si>
    <t>Also relevant to Participation, Communication &amp; Awareness, but its primary semantic home is C01 — Transparency, Explainability &amp; Intelligibility.</t>
  </si>
  <si>
    <t>Context, Culture &amp; Individual Differences</t>
  </si>
  <si>
    <t>Person-level variation</t>
  </si>
  <si>
    <t>Best semantic home under Context, Culture &amp; Individual Differences.</t>
  </si>
  <si>
    <t>[2], [3], [7]</t>
  </si>
  <si>
    <t>Context</t>
  </si>
  <si>
    <t>Situational qualifier</t>
  </si>
  <si>
    <t>Culture-aware treatment</t>
  </si>
  <si>
    <t>Professional &amp; Work Ethics</t>
  </si>
  <si>
    <t>Professional impartiality risk</t>
  </si>
  <si>
    <t>C20, C02</t>
  </si>
  <si>
    <t>Best semantic home under Professional &amp; Work Ethics.</t>
  </si>
  <si>
    <t>[4], [5]</t>
  </si>
  <si>
    <t>Competence</t>
  </si>
  <si>
    <t>Capability duty</t>
  </si>
  <si>
    <t>Professional Ethics</t>
  </si>
  <si>
    <t>Umbrella professional-conduct concept</t>
  </si>
  <si>
    <t>Work Ethics</t>
  </si>
  <si>
    <t>Workplace conduct/value concept</t>
  </si>
  <si>
    <t>Business, Commerce &amp; Monetisation Ethics</t>
  </si>
  <si>
    <t>Business Ethics</t>
  </si>
  <si>
    <t>Umbrella business-conduct concept</t>
  </si>
  <si>
    <t>Best semantic home under Business, Commerce &amp; Monetisation Ethics.</t>
  </si>
  <si>
    <t>[4], [5], [8]</t>
  </si>
  <si>
    <t>Commerce</t>
  </si>
  <si>
    <t>Market-exchange domain</t>
  </si>
  <si>
    <t>Revenue-extraction practice</t>
  </si>
  <si>
    <t>C23, C04</t>
  </si>
  <si>
    <t>C23, C13</t>
  </si>
  <si>
    <t>Also relevant to Business, Commerce &amp; Monetisation Ethics, but its primary semantic home is C23 — Behavioural Influence, Retention &amp; Addiction.</t>
  </si>
  <si>
    <t>C19, C02</t>
  </si>
  <si>
    <t>Also relevant to Business, Commerce &amp; Monetisation Ethics, but its primary semantic home is C19 — Professional &amp; Work Ethics.</t>
  </si>
  <si>
    <t>Intellectual Property, Authorship &amp; Software Freedom</t>
  </si>
  <si>
    <t>Intellectual Properties</t>
  </si>
  <si>
    <t>Intellectual Property</t>
  </si>
  <si>
    <t>Ownership and rights concept</t>
  </si>
  <si>
    <t>Best semantic home under Intellectual Property, Authorship &amp; Software Freedom.</t>
  </si>
  <si>
    <t>Authorship</t>
  </si>
  <si>
    <t>Attribution and creative credit</t>
  </si>
  <si>
    <t>Use/modification freedom</t>
  </si>
  <si>
    <t>C11, C01</t>
  </si>
  <si>
    <t>C01, C17</t>
  </si>
  <si>
    <t>Also relevant to Intellectual Property, Authorship &amp; Software Freedom, but its primary semantic home is C01 — Transparency, Explainability &amp; Intelligibility.</t>
  </si>
  <si>
    <t>Socioeconomic, Labour &amp; Social Justice Impacts</t>
  </si>
  <si>
    <t>Unemployment</t>
  </si>
  <si>
    <t>Labour-market consequence</t>
  </si>
  <si>
    <t>Best semantic home under Socioeconomic, Labour &amp; Social Justice Impacts.</t>
  </si>
  <si>
    <t>[4], [7], [8], [14]</t>
  </si>
  <si>
    <t>Structural societal justice concern</t>
  </si>
  <si>
    <t>Also relevant to Socioeconomic, Labour &amp; Social Justice Impacts, but its primary semantic home is C13 — Beneficence, Care, Well-being &amp; Common Good.</t>
  </si>
  <si>
    <t>Also relevant to Socioeconomic, Labour &amp; Social Justice Impacts, but its primary semantic home is C09 — Fairness, Justice, Equality &amp; Non-discrimination.</t>
  </si>
  <si>
    <t>Behavioural Influence, Retention &amp; Addiction</t>
  </si>
  <si>
    <t>Potentially manipulative engagement pattern</t>
  </si>
  <si>
    <t>C13, C20</t>
  </si>
  <si>
    <t>Best semantic home under Behavioural Influence, Retention &amp; Addiction.</t>
  </si>
  <si>
    <t>[4], [7], [8], [12]</t>
  </si>
  <si>
    <t>C12, C11</t>
  </si>
  <si>
    <t>Also relevant to Behavioural Influence, Retention &amp; Addiction, but its primary semantic home is C12 — Human Dignity, Humanity &amp; Selfhood.</t>
  </si>
  <si>
    <t>C20, C04</t>
  </si>
  <si>
    <t>Also relevant to Behavioural Influence, Retention &amp; Addiction, but its primary semantic home is C20 — Business, Commerce &amp; Monetisation Ethics.</t>
  </si>
  <si>
    <t>Speech, Expression &amp; Pluralism</t>
  </si>
  <si>
    <t>Expression-related concern</t>
  </si>
  <si>
    <t>C11, C17</t>
  </si>
  <si>
    <t>Best semantic home under Speech, Expression &amp; Pluralism.</t>
  </si>
  <si>
    <t>[7], [13], [15]</t>
  </si>
  <si>
    <t>Also relevant to Speech, Expression &amp; Pluralism, but its primary semantic home is C10 — Diversity, Inclusion &amp; Accessibility.</t>
  </si>
  <si>
    <t>Also relevant to Speech, Expression &amp; Pluralism, but its primary semantic home is C11 — Autonomy, Agency, Freedom &amp; Consent.</t>
  </si>
  <si>
    <t>C25</t>
  </si>
  <si>
    <t>Axiology (Meta-ethics)</t>
  </si>
  <si>
    <t>Axiology</t>
  </si>
  <si>
    <t>Meta-level study of value</t>
  </si>
  <si>
    <t>Best semantic home under Axiology (Meta-ethics).</t>
  </si>
  <si>
    <t>[1]</t>
  </si>
  <si>
    <t>Method, Cluster Rationale, Validation and Numbered Sources</t>
  </si>
  <si>
    <t>Analytical approach</t>
  </si>
  <si>
    <t>Expert-led hybrid semantic clustering with explicit multi-label membership. It combines lexical-semantic relations with software engineering, data ethics, AI ethics and professional-ethics frameworks.</t>
  </si>
  <si>
    <t>Validation Checklist</t>
  </si>
  <si>
    <t>Step 1 — Preservation</t>
  </si>
  <si>
    <t>Preserved every original ID and label exactly; added a separate normalised form only where spelling, capitalisation or number could obscure comparison.</t>
  </si>
  <si>
    <t>Expected unique IDs</t>
  </si>
  <si>
    <t>Step 2 — Sense disambiguation</t>
  </si>
  <si>
    <t>Interpreted each label in the context of software engineering ethics. Broad or ambiguous labels were not over-specified; they received Medium/Low confidence and a boundary note.</t>
  </si>
  <si>
    <t>Step 3 — Lexical similarity</t>
  </si>
  <si>
    <t>Used synonymy, near-synonymy, antonymic risk relations and broader/narrower conceptual relations. WordNet provides the lexical-semantic model; domain frameworks supply specialised senses.</t>
  </si>
  <si>
    <t>Step 4 — Domain alignment</t>
  </si>
  <si>
    <t>Compared candidate groupings with recognised ethical and quality taxonomies: EU HLEG, NIST AI RMF, ACM/IEEE codes, GDPR, UNESCO, OECD, Belmont, ISO/IEC 25010 and related official frameworks.</t>
  </si>
  <si>
    <t>Step 5 — Boundary test</t>
  </si>
  <si>
    <t>Kept conceptually adjacent but non-equivalent terms distinct where conflation would be misleading—for example, trust vs trustworthiness; safety vs security; fairness vs equality vs equity; privacy vs encryption.</t>
  </si>
  <si>
    <t>Primary completeness</t>
  </si>
  <si>
    <t>Step 6 — Multi-label rule</t>
  </si>
  <si>
    <t>Assigned one Primary cluster to every concern. Added Cross-listed memberships only where a second category is semantically or functionally material.</t>
  </si>
  <si>
    <t>ID range completeness</t>
  </si>
  <si>
    <t>IDs 1–94 verified</t>
  </si>
  <si>
    <t>PASS</t>
  </si>
  <si>
    <t>Step 7 — Singleton rule</t>
  </si>
  <si>
    <t>Retained a concern alone when no close semantic peer existed. Axiology is the principal singleton because it denotes a meta-ethical field rather than an operational concern.</t>
  </si>
  <si>
    <t>Cross-list integrity</t>
  </si>
  <si>
    <t>Verified in build</t>
  </si>
  <si>
    <t>Validation rule</t>
  </si>
  <si>
    <t>Checked completeness (IDs 1–94), exactly one primary assignment per ID, no duplicate membership within a cluster, explicit cross-listing, source-number resolution and ambiguity flags.</t>
  </si>
  <si>
    <t>Definition / Scope</t>
  </si>
  <si>
    <t>Primary Concerns (ID — label)</t>
  </si>
  <si>
    <t>Cross-listed Concerns (ID — label)</t>
  </si>
  <si>
    <t>Detailed Semantic Rationale</t>
  </si>
  <si>
    <t>Boundary and Overlap Decisions</t>
  </si>
  <si>
    <t>Properties and practices that make a system, its data, operation, limitations and decisions visible and cognitively accessible to relevant audiences.</t>
  </si>
  <si>
    <t>1 — Transparency; 12 — Explainability; 26 — Explicability; 42 — Interpretability; 59 — Understandability; 75 — Openness; 89 — Observability</t>
  </si>
  <si>
    <t>10 — Traceability; 86 — Communication; 92 — Software Freedom</t>
  </si>
  <si>
    <t>WordNet-style synonymy and domain usage place explainability, explicability, interpretability and understandability in one intelligibility family. Transparency is broader: it concerns disclosure and visibility, while openness and observability are enabling forms of visibility. They are grouped because recognised AI frameworks repeatedly co-locate transparency with explainability/interpretability.</t>
  </si>
  <si>
    <t>Does not equate transparency with full disclosure or explainability with interpretability. Traceability remains primarily accountability evidence.</t>
  </si>
  <si>
    <t>Answerability, attribution of decisions and harms, supervision, the ability to challenge outcomes, and routes to remedy or legal responsibility.</t>
  </si>
  <si>
    <t>7 — Accountability; 10 — Traceability; 31 — Responsibility; 46 — Contestability; 47 — Liability; 69 — Oversight</t>
  </si>
  <si>
    <t>66 — Conflict of Interest; 68 — Human Agency; 89 — Observability</t>
  </si>
  <si>
    <t>Accountability and responsibility are close but not identical: accountability stresses answerability, while responsibility can be moral, professional or causal. Traceability supports attribution; oversight establishes control; contestability provides challenge/redress; liability expresses legal responsibility. The cluster therefore joins the answerability–remedy chain.</t>
  </si>
  <si>
    <t>Separated from governance: this cluster concerns who answers, who can challenge, and who remedies; C03 concerns institutional rules/processes.</t>
  </si>
  <si>
    <t>Organisational and legal structures that govern development and use, including compliance duties, data governance and regulatory approaches.</t>
  </si>
  <si>
    <t>4 — Compliance; 41 — Data Governance; 70 — Regulatory Approaches</t>
  </si>
  <si>
    <t>10 — Traceability; 38 — Data Protection; 47 — Liability; 69 — Oversight; 73 — Lack of Data; 76 — User Data Collection</t>
  </si>
  <si>
    <t>Compliance, regulatory approaches and data governance are not synonyms, but they occupy the same governance layer: rules are established, operationalised, monitored and enforced across the lifecycle. Accountability-related terms are cross-listed when they function as governance mechanisms rather than as moral concepts.</t>
  </si>
  <si>
    <t>Separated from accountability and privacy to preserve the distinction between governance mechanisms and substantive ethical interests.</t>
  </si>
  <si>
    <t>Rights, controls and safeguards governing personal or sensitive information, including secrecy, anonymity, collection and lawful processing.</t>
  </si>
  <si>
    <t>9 — Privacy; 38 — Data Protection; 51 — Anonymity; 65 — Confidentiality; 76 — User Data Collection</t>
  </si>
  <si>
    <t>5 — Encryption; 6 — Informed Consent; 41 — Data Governance; 74 — Monetization; 90 — Protection</t>
  </si>
  <si>
    <t>Privacy is the broad interest in informational self-determination. Data protection is the legal/organisational regime; confidentiality limits disclosure; anonymity reduces identifiability; user data collection is a lifecycle practice. Consent and encryption are cross-listed as, respectively, a lawful-choice mechanism and a technical safeguard.</t>
  </si>
  <si>
    <t>Encryption is not privacy itself; consent is not always the sole lawful basis. Both are cross-listed, not treated as synonyms.</t>
  </si>
  <si>
    <t>Protection against unauthorised access, exploitation, abuse and adversarial or malicious use of software and information systems.</t>
  </si>
  <si>
    <t>2 — Security; 5 — Encryption; 81 — Computer Abuse; 82 — Malicious Use</t>
  </si>
  <si>
    <t>11 — Integrity; 65 — Confidentiality; 90 — Protection; 91 — Resilience</t>
  </si>
  <si>
    <t>Security is the umbrella property. Encryption is a control; computer abuse and malicious use are threat/use categories. Confidentiality, integrity, resilience and protection are cross-listed because cybersecurity frameworks treat them as security objectives or supporting capabilities, while their primary meanings also belong elsewhere.</t>
  </si>
  <si>
    <t>Safety is separated from security: security focuses on intentional/unauthorised threats, while safety covers harm regardless of cause.</t>
  </si>
  <si>
    <t>Avoidance, reduction and containment of physical, psychological, social or system harm, including safe degradation and controlled failure.</t>
  </si>
  <si>
    <t>8 — Safety; 13 — Prevention of Harm/Do no Harm; 21 — Non-Maleficence; 90 — Protection; 94 — Controlled Failure</t>
  </si>
  <si>
    <t>14 — Technical Robustness; 91 — Resilience</t>
  </si>
  <si>
    <t>Safety, prevention of harm and non-maleficence express the same harm-avoidance nucleus at different levels: engineering property, plain-language duty and ethical principle. Protection and controlled failure describe containment. Robustness and resilience are cross-listed only when they contribute to safety under failure or attack.</t>
  </si>
  <si>
    <t>Beneficence is not merged: avoiding harm is distinct from actively promoting benefit.</t>
  </si>
  <si>
    <t>Stable and dependable operation under expected and adverse conditions, including robustness, consistency, recovery and resilience.</t>
  </si>
  <si>
    <t>3 — Reliability; 14 — Technical Robustness; 33 — Dependability; 60 — Consistency; 91 — Resilience</t>
  </si>
  <si>
    <t>15 — Accuracy; 50 — Trustworthiness; 89 — Observability; 94 — Controlled Failure</t>
  </si>
  <si>
    <t>Reliability and dependability are near-synonymous quality concepts; robustness concerns resistance to perturbation; resilience concerns recovery/adaptation; consistency concerns stable behaviour. Accuracy and controlled failure are cross-listed because they support dependable operation but have distinct primary senses.</t>
  </si>
  <si>
    <t>Accuracy is not treated as a synonym of reliability; a reliable system can consistently produce inaccurate results.</t>
  </si>
  <si>
    <t>Correctness, completeness, integrity, sufficiency and fitness of data and outputs for their intended use.</t>
  </si>
  <si>
    <t>11 — Integrity; 15 — Accuracy; 73 — Lack of Data; 85 — Data Quality</t>
  </si>
  <si>
    <t>41 — Data Governance; 60 — Consistency</t>
  </si>
  <si>
    <t>Accuracy and data quality concern fitness and correctness; lack of data concerns insufficiency; integrity concerns completeness and freedom from improper alteration. Consistency and data governance are cross-listed because they influence quality but are primarily operational/governance concepts.</t>
  </si>
  <si>
    <t>Moral integrity is a possible alternative sense. In this software/data context, the primary reading is information/output integrity; ambiguity is flagged.</t>
  </si>
  <si>
    <t>Procedural and distributive justice, equal treatment and opportunity, correction of disadvantage, and prevention of discrimination or harmful bias.</t>
  </si>
  <si>
    <t>16 — Fairness; 20 — Equality; 22 — Bias; 23 — Justice; 27 — Equity; 30 — Non-Discrimination; 44 — Inequality</t>
  </si>
  <si>
    <t>18 — Diversity; 46 — Contestability; 58 — Social Justice Issues</t>
  </si>
  <si>
    <t>Fairness, justice, equality and equity overlap but are not collapsed: equality stresses sameness/equal status; equity allows corrective treatment; justice is broader; non-discrimination is a prohibitive rule. Bias and inequality are included as negative-pole risks whose semantic meaning is defined by departure from the positive cluster.</t>
  </si>
  <si>
    <t>Bias and inequality are risk/opposite terms, not positive principles. They are clustered for semantic-domain coherence, not synonymy.</t>
  </si>
  <si>
    <t>Representation of different people and viewpoints, inclusive participation, accessible design and accommodation of diverse needs.</t>
  </si>
  <si>
    <t>18 — Diversity; 32 — Plurality; 34 — Accessibility; 39 — Inclusiveness; 88 — Inclusion</t>
  </si>
  <si>
    <t>22 — Bias; 28 — Participation; 52 — Access; 55 — Individual Differences; 84 — Cultural Sensitivity</t>
  </si>
  <si>
    <t>Diversity/plurality concern the presence of differences; inclusion/inclusiveness concern meaningful participation; accessibility and access remove barriers. Individual differences and cultural sensitivity are cross-listed because they are contextual bases for inclusive design. Bias is cross-listed when it produces exclusion.</t>
  </si>
  <si>
    <t>Accessibility is dual-homed with usability/access. Inclusion is not reduced to numerical diversity.</t>
  </si>
  <si>
    <t>Human self-determination, meaningful control, voluntary informed choice, agency and freedom from unjustified constraint or manipulation.</t>
  </si>
  <si>
    <t>6 — Informed Consent; 29 — Autonomy; 45 — Respect for Human Autonomy; 68 — Human Agency; 71 — Freedom</t>
  </si>
  <si>
    <t>46 — Contestability; 61 — Speech Issues; 69 — Oversight; 72 — Self-Conception; 92 — Software Freedom</t>
  </si>
  <si>
    <t>Autonomy, respect for autonomy, human agency and freedom share self-determination. Informed consent operationalises voluntary choice. Contestability, oversight and speech are cross-listed where they restore or preserve meaningful human control.</t>
  </si>
  <si>
    <t>Oversight can protect autonomy but can also constrain it; it is therefore primary under accountability and only cross-listed here.</t>
  </si>
  <si>
    <t>The inherent worth, humanity, identity and self-conception of persons affected by software systems.</t>
  </si>
  <si>
    <t>25 — Dignity; 54 — Humanity; 72 — Self-Conception</t>
  </si>
  <si>
    <t>45 — Respect for Human Autonomy</t>
  </si>
  <si>
    <t>Dignity and humanity refer to inherent human worth; self-conception concerns identity and how systems shape a person’s understanding of self. Respect for autonomy is cross-listed because many human-rights frameworks treat autonomy as an expression of dignity, while it remains primarily a control/choice concept.</t>
  </si>
  <si>
    <t>Self-conception is broader and less standardised than dignity; the assignment is conceptually plausible but context-sensitive.</t>
  </si>
  <si>
    <t>Positive duties and outcomes concerned with benefit, care, welfare, solidarity, quality of life and collective good.</t>
  </si>
  <si>
    <t>24 — Solidarity; 36 — Well-Being/Welfare; 40 — Beneficence; 53 — Common goods; 56 — Quality of Life; 77 — Care</t>
  </si>
  <si>
    <t>54 — Humanity; 57 — Retention and Addiction</t>
  </si>
  <si>
    <t>Beneficence, care, well-being/welfare and quality of life share a positive-benefit orientation. Solidarity and common good extend benefit from individuals to communities. Humanity, retention/addiction and sustainability are cross-listed when they affect flourishing or welfare.</t>
  </si>
  <si>
    <t>Utility is excluded because useful software is not necessarily beneficial in the ethical sense.</t>
  </si>
  <si>
    <t>Trust as a stakeholder attitude and trustworthiness as the evidence-based property that justifies appropriate reliance.</t>
  </si>
  <si>
    <t>37 — Trust; 50 — Trustworthiness</t>
  </si>
  <si>
    <t>11 — Integrity</t>
  </si>
  <si>
    <t>Trust is an attitude of reliance; trustworthiness is the set of warranted properties that justify such reliance. Reliability and integrity are cross-listed as evidence-bearing contributors. The distinction prevents treating subjective trust as identical to system quality.</t>
  </si>
  <si>
    <t>Trustworthiness is an umbrella outcome and may aggregate many other clusters; cross-listing is deliberately limited to avoid making the category universal.</t>
  </si>
  <si>
    <t>Long-term societal and ecological viability, including environmental burdens and impacts across the system lifecycle.</t>
  </si>
  <si>
    <t>19 — Sustainability; 87 — Environmental Impact</t>
  </si>
  <si>
    <t>36 — Well-Being/Welfare; 53 — Common goods</t>
  </si>
  <si>
    <t>Sustainability and environmental impact form an ecological/long-horizon cluster. Well-being and common goods are cross-listed where environmental effects influence collective welfare, rather than being treated as ecological synonyms.</t>
  </si>
  <si>
    <t>Social sustainability is partly represented in C13/C22; this cluster prioritises the explicit ecological and long-term meaning.</t>
  </si>
  <si>
    <t>Fitness for purpose, usefulness, usable interaction and practical ability to obtain or use a system or service.</t>
  </si>
  <si>
    <t>17 — Utility; 43 — Usability; 52 — Access; 93 — Usefulness</t>
  </si>
  <si>
    <t>34 — Accessibility</t>
  </si>
  <si>
    <t>Utility and usefulness are near-synonyms about fitness for purpose; usability concerns effective and efficient interaction; access concerns practical availability. Accessibility is cross-listed because it is both inclusive design and a condition of usable access.</t>
  </si>
  <si>
    <t>Access can also mean data-access rights or inclusion. The broad label is flagged and cross-listed with C10.</t>
  </si>
  <si>
    <t>Stakeholder involvement, two-way communication and awareness needed for informed, legitimate and responsive development.</t>
  </si>
  <si>
    <t>28 — Participation; 83 — Awareness; 86 — Communication</t>
  </si>
  <si>
    <t>61 — Speech Issues; 75 — Openness</t>
  </si>
  <si>
    <t>Participation is involvement in decisions; communication is information exchange; awareness is the cognitive prerequisite for informed engagement. Openness and speech issues are cross-listed where they enable stakeholder dialogue.</t>
  </si>
  <si>
    <t>Transparency is not merged with communication: information can be available without being effectively communicated.</t>
  </si>
  <si>
    <t>Interpretation and design that account for situational context, cultural norms and individual variation.</t>
  </si>
  <si>
    <t>55 — Individual Differences; 67 — Context; 84 — Cultural Sensitivity</t>
  </si>
  <si>
    <t>None</t>
  </si>
  <si>
    <t>Context is the situational frame; cultural sensitivity and individual differences are specific dimensions that alter interpretation, impact and acceptable design. Diversity-related terms are cross-listed rather than absorbed, because difference can be represented without being contextually respected.</t>
  </si>
  <si>
    <t>The bare term 'Context' is underspecified and receives low confidence without the original sentence or codebook definition.</t>
  </si>
  <si>
    <t>Duties arising from professional and workplace roles, including competence, integrity of practice and management of conflicts of interest.</t>
  </si>
  <si>
    <t>66 — Conflict of Interest; 78 — Competence; 79 — Professional Ethics; 80 — Work Ethics</t>
  </si>
  <si>
    <t>Professional ethics and work ethics are umbrella role-based norms; competence is a professional duty; conflict of interest is a characteristic threat to impartial judgement. Business ethics is separated because organisational/commercial incentives extend beyond individual professional conduct.</t>
  </si>
  <si>
    <t>Conflict of interest also has accountability and business implications; professional duty is selected as the primary sense.</t>
  </si>
  <si>
    <t>Ethical questions created by commercial exchange, business conduct, monetisation and incentives embedded in business models.</t>
  </si>
  <si>
    <t>63 — Business Ethics; 64 — Commerce; 74 — Monetization</t>
  </si>
  <si>
    <t>57 — Retention and Addiction; 66 — Conflict of Interest</t>
  </si>
  <si>
    <t>Business ethics, commerce and monetisation concern market activity, commercial incentives and value extraction. Conflict of interest and retention/addiction are cross-listed when commercial incentives create ethical pressure or manipulative engagement.</t>
  </si>
  <si>
    <t>Commerce is a domain label rather than a fully specified ethical concern, so the semantic assignment is moderate-confidence.</t>
  </si>
  <si>
    <t>Ownership, attribution, licensing, reuse and freedoms relating to software, data and creative or intellectual outputs.</t>
  </si>
  <si>
    <t>48 — Intellectual Properties; 62 — Authorship; 92 — Software Freedom</t>
  </si>
  <si>
    <t>75 — Openness</t>
  </si>
  <si>
    <t>Intellectual property concerns legally recognised ownership/control; authorship concerns attribution and credit; software freedom concerns permissions to use, study, modify and share. Openness and general freedom are related but cross-listed because they are broader than the rights/licensing domain.</t>
  </si>
  <si>
    <t>The original plural 'Intellectual Properties' is preserved, while the normalised standard form is 'Intellectual Property'.</t>
  </si>
  <si>
    <t>Broader social and economic consequences, including employment displacement, inequality and structural or social-justice effects.</t>
  </si>
  <si>
    <t>35 — Unemployment; 58 — Social Justice Issues</t>
  </si>
  <si>
    <t>24 — Solidarity; 44 — Inequality</t>
  </si>
  <si>
    <t>Unemployment and social-justice issues are macro-level consequences rather than intrinsic system properties. Inequality, solidarity and welfare are cross-listed when the concern is structural distribution of benefits, burdens and labour-market effects.</t>
  </si>
  <si>
    <t>Social justice is cross-listed with fairness/justice because it can denote both a normative principle and a macro societal impact.</t>
  </si>
  <si>
    <t>Design or business practices that seek repeated engagement in ways that may foster dependence, compulsion or addiction.</t>
  </si>
  <si>
    <t>57 — Retention and Addiction</t>
  </si>
  <si>
    <t>72 — Self-Conception; 74 — Monetization</t>
  </si>
  <si>
    <t>Retention and addiction is retained as a distinct cluster because no other input label directly names compulsive engagement. It overlaps autonomy, self-conception, welfare and monetisation: addictive design can constrain choice, shape identity, cause harm and be commercially incentivised.</t>
  </si>
  <si>
    <t>The compound label may conflate retention metrics with behavioural addiction; original context is needed for finer separation.</t>
  </si>
  <si>
    <t>Freedom and plurality of opinion, speech and expression, including the conditions for diverse voices and communication.</t>
  </si>
  <si>
    <t>61 — Speech Issues</t>
  </si>
  <si>
    <t>32 — Plurality; 71 — Freedom</t>
  </si>
  <si>
    <t>Speech issues are interpreted as concerns about opinion and expression. Freedom and plurality are cross-listed because speech ethics involves both liberty and the presence of diverse voices; communication is not primary because it also covers non-expressive information exchange.</t>
  </si>
  <si>
    <t>'Speech Issues' is highly underspecified; this interpretation should be revisited against the source sentence or coding definition.</t>
  </si>
  <si>
    <t>The meta-ethical study or theory of value; retained as a singleton because it names a discipline rather than a peer operational concern.</t>
  </si>
  <si>
    <t>49 — Axiology</t>
  </si>
  <si>
    <t>Axiology denotes the philosophical study of value and value judgements. It is semantically meta-level and has no close peer in the supplied list, so forcing it into an operational category would create a category error.</t>
  </si>
  <si>
    <t>Singleton retained intentionally; axiology frames how values are selected rather than naming a concrete design requirement.</t>
  </si>
  <si>
    <t>Numbered Source Register</t>
  </si>
  <si>
    <t>Source No.</t>
  </si>
  <si>
    <t>Source</t>
  </si>
  <si>
    <t>How It Was Used</t>
  </si>
  <si>
    <t>URL</t>
  </si>
  <si>
    <t>Accessed</t>
  </si>
  <si>
    <t>Princeton WordNet</t>
  </si>
  <si>
    <t>Lexical-semantic baseline: synonymy, related senses and explicit semantic relations.</t>
  </si>
  <si>
    <t>https://wordnet.princeton.edu/</t>
  </si>
  <si>
    <t>European Commission — Ethics Guidelines for Trustworthy AI</t>
  </si>
  <si>
    <t>Domain taxonomy linking human agency, robustness/safety, privacy/data governance, transparency, fairness/diversity, well-being and accountability.</t>
  </si>
  <si>
    <t>https://digital-strategy.ec.europa.eu/en/library/ethics-guidelines-trustworthy-ai</t>
  </si>
  <si>
    <t>NIST AI Risk Management Framework 1.0</t>
  </si>
  <si>
    <t>Trustworthiness characteristics: valid/reliable, safe, secure/resilient, accountable/transparent, explainable/interpretable, privacy-enhanced and fair with harmful bias managed.</t>
  </si>
  <si>
    <t>https://nvlpubs.nist.gov/nistpubs/ai/nist.ai.100-1.pdf</t>
  </si>
  <si>
    <t>ACM Code of Ethics and Professional Conduct</t>
  </si>
  <si>
    <t>Professional duties concerning well-being, harm avoidance, honesty, fairness, non-discrimination, privacy, confidentiality and robust systems.</t>
  </si>
  <si>
    <t>https://www.acm.org/code-of-ethics</t>
  </si>
  <si>
    <t>Software Engineering Code of Ethics and Professional Practice (IEEE-CS/ACM)</t>
  </si>
  <si>
    <t>Software-engineering-specific duties concerning public interest, product quality, judgement, management, profession, colleagues and self.</t>
  </si>
  <si>
    <t>https://www.acm.org/code-of-ethics/software-engineering-code</t>
  </si>
  <si>
    <t>EU General Data Protection Regulation (GDPR)</t>
  </si>
  <si>
    <t>Legal distinctions among privacy/data protection, consent, transparency, security, confidentiality, integrity and data governance.</t>
  </si>
  <si>
    <t>https://eur-lex.europa.eu/eli/reg/2016/679/oj/eng</t>
  </si>
  <si>
    <t>UNESCO Recommendation on the Ethics of Artificial Intelligence</t>
  </si>
  <si>
    <t>Human dignity, human rights, diversity, inclusion, fairness, environmental sustainability, oversight, well-being and societal values.</t>
  </si>
  <si>
    <t>https://www.unesco.org/en/legal-affairs/recommendation-ethics-artificial-intelligence</t>
  </si>
  <si>
    <t>OECD AI Principles (updated 2024)</t>
  </si>
  <si>
    <t>Inclusive growth, sustainable development, well-being, human-centred values, fairness/privacy, transparency/explainability, robustness/security/safety and accountability.</t>
  </si>
  <si>
    <t>https://oecd.ai/en/ai-principles</t>
  </si>
  <si>
    <t>The Belmont Report</t>
  </si>
  <si>
    <t>Canonical separation and relationship among respect for persons/autonomy, beneficence/non-maleficence, informed consent and justice.</t>
  </si>
  <si>
    <t>https://www.hhs.gov/ohrp/regulations-and-policy/belmont-report/read-the-belmont-report/index.html</t>
  </si>
  <si>
    <t>ISO/IEC 25010:2023 — Product quality model</t>
  </si>
  <si>
    <t>Software-quality terminology supporting distinctions among reliability, usability, security, robustness-related qualities and quality characteristics.</t>
  </si>
  <si>
    <t>https://www.iso.org/standard/78176.html</t>
  </si>
  <si>
    <t>NIST CSRC Glossary and Secure Software Development Framework</t>
  </si>
  <si>
    <t>Cybersecurity distinctions among confidentiality, integrity, security controls, protection, misuse and resilient secure development.</t>
  </si>
  <si>
    <t>https://csrc.nist.gov/glossary/term/information_security</t>
  </si>
  <si>
    <t>Australia's AI Ethics Principles</t>
  </si>
  <si>
    <t>Explicit principles for human/social/environmental well-being, human-centred values, fairness, privacy/security, reliability/safety, transparency/explainability, contestability and accountability.</t>
  </si>
  <si>
    <t>https://www.industry.gov.au/publications/australias-ai-ethics-principles</t>
  </si>
  <si>
    <t>Universal Declaration of Human Rights</t>
  </si>
  <si>
    <t>Normative grounding for dignity, equality, freedom, non-discrimination, opinion and expression.</t>
  </si>
  <si>
    <t>https://www.ohchr.org/en/universal-declaration-of-human-rights</t>
  </si>
  <si>
    <t>IEEE Ethically Aligned Design — Overview</t>
  </si>
  <si>
    <t>Human well-being, human rights, accountability, transparency, misuse resistance and ecological sustainability.</t>
  </si>
  <si>
    <t>https://standards.ieee.org/ieee/White_Paper/10594/</t>
  </si>
  <si>
    <t>UK Data and AI Ethics Framework</t>
  </si>
  <si>
    <t>Operational links among transparency/explainability, fairness, accountability/governance, contestability/redress, communication and societal well-being.</t>
  </si>
  <si>
    <t>https://www.gov.uk/government/publications/data-ethics-framework/data-and-ai-ethics-framework</t>
  </si>
  <si>
    <t>Limitation: clustering was performed from labels only. For underspecified items—especially Speech Issues, Context and Protection—the original survey sentence, paper quotation or coding definition should be consulted before treating the cluster as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</si>
</sst>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6"/>
      <color rgb="FFFFFFFF"/>
      <name val="Carlito"/>
    </font>
    <font>
      <i/>
      <sz val="11"/>
      <color rgb="FF595959"/>
      <name val="Carlito"/>
    </font>
    <font>
      <b/>
      <sz val="11"/>
      <name val="Carlito"/>
    </font>
    <font>
      <b/>
      <sz val="11"/>
      <color rgb="FFFFFFFF"/>
      <name val="Carlito"/>
    </font>
    <font>
      <i/>
      <sz val="11"/>
      <name val="Carlito"/>
    </font>
    <font>
      <b/>
      <sz val="11"/>
      <color rgb="FF595959"/>
      <name val="Carlito"/>
    </font>
    <font>
      <b/>
      <sz val="13"/>
      <color rgb="FF17365D"/>
      <name val="Carlito"/>
    </font>
    <font>
      <sz val="11"/>
      <name val="Carlito"/>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E7E6E6"/>
      </patternFill>
    </fill>
    <fill>
      <patternFill patternType="solid">
        <fgColor rgb="FFD9EAF7"/>
      </patternFill>
    </fill>
    <fill>
      <patternFill patternType="solid">
        <fgColor rgb="FFFFF2CC"/>
      </patternFill>
    </fill>
  </fills>
  <borders count="7">
    <border>
      <left/>
      <right/>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2">
    <xf numFmtId="0" fontId="0" fillId="0" borderId="0"/>
    <xf numFmtId="0" fontId="8" fillId="0" borderId="0"/>
  </cellStyleXfs>
  <cellXfs count="21">
    <xf numFmtId="0" fontId="0" fillId="0" borderId="0" xfId="0"/>
    <xf numFmtId="0" fontId="4"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3" fillId="5" borderId="1" xfId="1" applyFont="1" applyFill="1" applyBorder="1" applyAlignment="1">
      <alignment vertical="top" wrapText="1"/>
    </xf>
    <xf numFmtId="0" fontId="0" fillId="0" borderId="2" xfId="1" applyFont="1" applyBorder="1" applyAlignment="1">
      <alignment vertical="top" wrapText="1"/>
    </xf>
    <xf numFmtId="0" fontId="3" fillId="5" borderId="3" xfId="1" applyFont="1" applyFill="1" applyBorder="1" applyAlignment="1">
      <alignment vertical="top" wrapText="1"/>
    </xf>
    <xf numFmtId="0" fontId="0" fillId="0" borderId="4" xfId="1" applyFont="1" applyBorder="1" applyAlignment="1">
      <alignment vertical="top" wrapText="1"/>
    </xf>
    <xf numFmtId="0" fontId="3" fillId="5" borderId="5" xfId="1" applyFont="1" applyFill="1" applyBorder="1" applyAlignment="1">
      <alignment vertical="top" wrapText="1"/>
    </xf>
    <xf numFmtId="0" fontId="0" fillId="0" borderId="6" xfId="1" applyFont="1" applyBorder="1" applyAlignment="1">
      <alignment vertical="top" wrapText="1"/>
    </xf>
    <xf numFmtId="0" fontId="3" fillId="4" borderId="0" xfId="1" applyFont="1" applyFill="1" applyAlignment="1">
      <alignment wrapText="1"/>
    </xf>
    <xf numFmtId="0" fontId="0" fillId="0" borderId="0" xfId="1" applyFont="1" applyAlignment="1">
      <alignment horizontal="center" wrapText="1"/>
    </xf>
    <xf numFmtId="0" fontId="3" fillId="5" borderId="0" xfId="1" applyFont="1" applyFill="1" applyAlignment="1">
      <alignment horizontal="center" vertical="center" wrapText="1"/>
    </xf>
    <xf numFmtId="164" fontId="0" fillId="0" borderId="0" xfId="1" applyNumberFormat="1" applyFont="1" applyAlignment="1">
      <alignment vertical="top" wrapText="1"/>
    </xf>
    <xf numFmtId="0" fontId="7" fillId="3" borderId="0" xfId="1" applyFont="1" applyFill="1" applyAlignment="1">
      <alignment horizontal="center" vertical="center"/>
    </xf>
    <xf numFmtId="0" fontId="1" fillId="2" borderId="0" xfId="1" applyFont="1" applyFill="1" applyAlignment="1">
      <alignment horizontal="center" vertical="center"/>
    </xf>
    <xf numFmtId="0" fontId="2" fillId="3" borderId="0" xfId="1" applyFont="1" applyFill="1" applyAlignment="1">
      <alignment wrapText="1"/>
    </xf>
    <xf numFmtId="0" fontId="6" fillId="4" borderId="0" xfId="1" applyFont="1" applyFill="1" applyAlignment="1">
      <alignment horizontal="center" vertical="center"/>
    </xf>
    <xf numFmtId="0" fontId="4" fillId="2" borderId="0" xfId="1" applyFont="1" applyFill="1" applyAlignment="1">
      <alignment horizontal="center"/>
    </xf>
    <xf numFmtId="0" fontId="5" fillId="6" borderId="0" xfId="1" applyFont="1" applyFill="1" applyAlignment="1">
      <alignment wrapText="1"/>
    </xf>
  </cellXfs>
  <cellStyles count="2">
    <cellStyle name="Normal" xfId="1" xr:uid="{00000000-0005-0000-0000-000000000000}"/>
    <cellStyle name="Normale" xfId="0" builtinId="0"/>
  </cellStyles>
  <dxfs count="9">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usterAssignmentsTable" displayName="ClusterAssignmentsTable" ref="A6:L160">
  <tableColumns count="12">
    <tableColumn id="1" xr3:uid="{00000000-0010-0000-0000-000001000000}" name="Cluster ID"/>
    <tableColumn id="2" xr3:uid="{00000000-0010-0000-0000-000002000000}" name="Cluster Category"/>
    <tableColumn id="3" xr3:uid="{00000000-0010-0000-0000-000003000000}" name="Assignment Type"/>
    <tableColumn id="4" xr3:uid="{00000000-0010-0000-0000-000004000000}" name="Concern ID"/>
    <tableColumn id="5" xr3:uid="{00000000-0010-0000-0000-000005000000}" name="Original Concern"/>
    <tableColumn id="6" xr3:uid="{00000000-0010-0000-0000-000006000000}" name="Normalised Form"/>
    <tableColumn id="7" xr3:uid="{00000000-0010-0000-0000-000007000000}" name="Semantic Relation"/>
    <tableColumn id="8" xr3:uid="{00000000-0010-0000-0000-000008000000}" name="Primary Cluster"/>
    <tableColumn id="9" xr3:uid="{00000000-0010-0000-0000-000009000000}" name="Other Memberships"/>
    <tableColumn id="10" xr3:uid="{00000000-0010-0000-0000-00000A000000}" name="Confidence"/>
    <tableColumn id="11" xr3:uid="{00000000-0010-0000-0000-00000B000000}" name="Assignment Note"/>
    <tableColumn id="12" xr3:uid="{00000000-0010-0000-0000-00000C000000}" name="Source No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RationaleTable" displayName="ClusterRationaleTable" ref="A14:I39">
  <tableColumns count="9">
    <tableColumn id="1" xr3:uid="{00000000-0010-0000-0100-000001000000}" name="Cluster ID"/>
    <tableColumn id="2" xr3:uid="{00000000-0010-0000-0100-000002000000}" name="Cluster Category"/>
    <tableColumn id="3" xr3:uid="{00000000-0010-0000-0100-000003000000}" name="Definition / Scope"/>
    <tableColumn id="4" xr3:uid="{00000000-0010-0000-0100-000004000000}" name="Primary Concerns (ID — label)"/>
    <tableColumn id="5" xr3:uid="{00000000-0010-0000-0100-000005000000}" name="Cross-listed Concerns (ID — label)"/>
    <tableColumn id="6" xr3:uid="{00000000-0010-0000-0100-000006000000}" name="Detailed Semantic Rationale"/>
    <tableColumn id="7" xr3:uid="{00000000-0010-0000-0100-000007000000}" name="Boundary and Overlap Decisions"/>
    <tableColumn id="8" xr3:uid="{00000000-0010-0000-0100-000008000000}" name="Confidence"/>
    <tableColumn id="9" xr3:uid="{00000000-0010-0000-0100-000009000000}" name="Source No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RegisterTable" displayName="SourceRegisterTable" ref="A43:E58">
  <tableColumns count="5">
    <tableColumn id="1" xr3:uid="{00000000-0010-0000-0200-000001000000}" name="Source No."/>
    <tableColumn id="2" xr3:uid="{00000000-0010-0000-0200-000002000000}" name="Source"/>
    <tableColumn id="3" xr3:uid="{00000000-0010-0000-0200-000003000000}" name="How It Was Used"/>
    <tableColumn id="4" xr3:uid="{00000000-0010-0000-0200-000004000000}" name="URL"/>
    <tableColumn id="5" xr3:uid="{00000000-0010-0000-0200-000005000000}" name="Access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tabSelected="1" zoomScaleNormal="100" zoomScaleSheetLayoutView="100" workbookViewId="0"/>
  </sheetViews>
  <sheetFormatPr defaultRowHeight="15"/>
  <cols>
    <col min="1" max="1" width="10" customWidth="1"/>
    <col min="2" max="2" width="34" customWidth="1"/>
    <col min="3" max="3" width="14" customWidth="1"/>
    <col min="4" max="4" width="10" customWidth="1"/>
    <col min="5" max="6" width="28" customWidth="1"/>
    <col min="7" max="7" width="31" customWidth="1"/>
    <col min="8" max="8" width="13" customWidth="1"/>
    <col min="9" max="9" width="18" customWidth="1"/>
    <col min="10" max="10" width="11" customWidth="1"/>
    <col min="11" max="11" width="46" customWidth="1"/>
    <col min="12" max="12" width="18" customWidth="1"/>
  </cols>
  <sheetData>
    <row r="1" spans="1:12" ht="30" customHeight="1">
      <c r="A1" s="16" t="s">
        <v>0</v>
      </c>
      <c r="B1" s="16"/>
      <c r="C1" s="16"/>
      <c r="D1" s="16"/>
      <c r="E1" s="16"/>
      <c r="F1" s="16"/>
      <c r="G1" s="16"/>
      <c r="H1" s="16"/>
      <c r="I1" s="16"/>
      <c r="J1" s="16"/>
      <c r="K1" s="16"/>
      <c r="L1" s="16"/>
    </row>
    <row r="2" spans="1:12" ht="33.950000000000003" customHeight="1">
      <c r="A2" s="17" t="s">
        <v>1</v>
      </c>
      <c r="B2" s="17"/>
      <c r="C2" s="17"/>
      <c r="D2" s="17"/>
      <c r="E2" s="17"/>
      <c r="F2" s="17"/>
      <c r="G2" s="17"/>
      <c r="H2" s="17"/>
      <c r="I2" s="17"/>
      <c r="J2" s="17"/>
      <c r="K2" s="17"/>
      <c r="L2" s="17"/>
    </row>
    <row r="3" spans="1:12" ht="21.95" customHeight="1">
      <c r="A3" s="18" t="s">
        <v>2</v>
      </c>
      <c r="B3" s="18"/>
      <c r="C3" s="18" t="s">
        <v>3</v>
      </c>
      <c r="D3" s="18"/>
      <c r="E3" s="18" t="s">
        <v>4</v>
      </c>
      <c r="F3" s="18"/>
      <c r="G3" s="18" t="s">
        <v>5</v>
      </c>
      <c r="H3" s="18"/>
    </row>
    <row r="4" spans="1:12" ht="24" customHeight="1">
      <c r="A4" s="15">
        <f>COUNTIF(C7:C300,"Primary")</f>
        <v>94</v>
      </c>
      <c r="B4" s="15"/>
      <c r="C4" s="15">
        <f>COUNTIF(C7:C300,"Cross-listed")</f>
        <v>60</v>
      </c>
      <c r="D4" s="15"/>
      <c r="E4" s="15">
        <v>25</v>
      </c>
      <c r="F4" s="15"/>
      <c r="G4" s="15">
        <f>COUNTA(D7:D300)</f>
        <v>154</v>
      </c>
      <c r="H4" s="15"/>
    </row>
    <row r="6" spans="1:12" ht="32.1" customHeight="1">
      <c r="A6" s="1" t="s">
        <v>6</v>
      </c>
      <c r="B6" s="1" t="s">
        <v>7</v>
      </c>
      <c r="C6" s="1" t="s">
        <v>8</v>
      </c>
      <c r="D6" s="1" t="s">
        <v>9</v>
      </c>
      <c r="E6" s="1" t="s">
        <v>10</v>
      </c>
      <c r="F6" s="1" t="s">
        <v>11</v>
      </c>
      <c r="G6" s="1" t="s">
        <v>12</v>
      </c>
      <c r="H6" s="1" t="s">
        <v>13</v>
      </c>
      <c r="I6" s="1" t="s">
        <v>14</v>
      </c>
      <c r="J6" s="1" t="s">
        <v>15</v>
      </c>
      <c r="K6" s="1" t="s">
        <v>16</v>
      </c>
      <c r="L6" s="1" t="s">
        <v>17</v>
      </c>
    </row>
    <row r="7" spans="1:12">
      <c r="A7" s="4" t="s">
        <v>18</v>
      </c>
      <c r="B7" s="3" t="s">
        <v>19</v>
      </c>
      <c r="C7" s="4" t="s">
        <v>20</v>
      </c>
      <c r="D7" s="4">
        <v>1</v>
      </c>
      <c r="E7" s="3" t="s">
        <v>21</v>
      </c>
      <c r="F7" s="3" t="s">
        <v>21</v>
      </c>
      <c r="G7" s="3" t="s">
        <v>22</v>
      </c>
      <c r="H7" s="4" t="s">
        <v>18</v>
      </c>
      <c r="I7" s="4"/>
      <c r="J7" s="4" t="s">
        <v>23</v>
      </c>
      <c r="K7" s="3" t="s">
        <v>24</v>
      </c>
      <c r="L7" s="3" t="s">
        <v>25</v>
      </c>
    </row>
    <row r="8" spans="1:12">
      <c r="A8" s="4" t="s">
        <v>18</v>
      </c>
      <c r="B8" s="3" t="s">
        <v>19</v>
      </c>
      <c r="C8" s="4" t="s">
        <v>20</v>
      </c>
      <c r="D8" s="4">
        <v>12</v>
      </c>
      <c r="E8" s="3" t="s">
        <v>26</v>
      </c>
      <c r="F8" s="3" t="s">
        <v>26</v>
      </c>
      <c r="G8" s="3" t="s">
        <v>27</v>
      </c>
      <c r="H8" s="4" t="s">
        <v>18</v>
      </c>
      <c r="I8" s="4"/>
      <c r="J8" s="4" t="s">
        <v>23</v>
      </c>
      <c r="K8" s="3" t="s">
        <v>24</v>
      </c>
      <c r="L8" s="3" t="s">
        <v>25</v>
      </c>
    </row>
    <row r="9" spans="1:12">
      <c r="A9" s="4" t="s">
        <v>18</v>
      </c>
      <c r="B9" s="3" t="s">
        <v>19</v>
      </c>
      <c r="C9" s="4" t="s">
        <v>20</v>
      </c>
      <c r="D9" s="4">
        <v>26</v>
      </c>
      <c r="E9" s="3" t="s">
        <v>28</v>
      </c>
      <c r="F9" s="3" t="s">
        <v>28</v>
      </c>
      <c r="G9" s="3" t="s">
        <v>29</v>
      </c>
      <c r="H9" s="4" t="s">
        <v>18</v>
      </c>
      <c r="I9" s="4"/>
      <c r="J9" s="4" t="s">
        <v>23</v>
      </c>
      <c r="K9" s="3" t="s">
        <v>24</v>
      </c>
      <c r="L9" s="3" t="s">
        <v>25</v>
      </c>
    </row>
    <row r="10" spans="1:12">
      <c r="A10" s="4" t="s">
        <v>18</v>
      </c>
      <c r="B10" s="3" t="s">
        <v>19</v>
      </c>
      <c r="C10" s="4" t="s">
        <v>20</v>
      </c>
      <c r="D10" s="4">
        <v>42</v>
      </c>
      <c r="E10" s="3" t="s">
        <v>30</v>
      </c>
      <c r="F10" s="3" t="s">
        <v>30</v>
      </c>
      <c r="G10" s="3" t="s">
        <v>31</v>
      </c>
      <c r="H10" s="4" t="s">
        <v>18</v>
      </c>
      <c r="I10" s="4"/>
      <c r="J10" s="4" t="s">
        <v>23</v>
      </c>
      <c r="K10" s="3" t="s">
        <v>24</v>
      </c>
      <c r="L10" s="3" t="s">
        <v>25</v>
      </c>
    </row>
    <row r="11" spans="1:12">
      <c r="A11" s="4" t="s">
        <v>18</v>
      </c>
      <c r="B11" s="3" t="s">
        <v>19</v>
      </c>
      <c r="C11" s="4" t="s">
        <v>20</v>
      </c>
      <c r="D11" s="4">
        <v>59</v>
      </c>
      <c r="E11" s="3" t="s">
        <v>32</v>
      </c>
      <c r="F11" s="3" t="s">
        <v>32</v>
      </c>
      <c r="G11" s="3" t="s">
        <v>33</v>
      </c>
      <c r="H11" s="4" t="s">
        <v>18</v>
      </c>
      <c r="I11" s="4"/>
      <c r="J11" s="4" t="s">
        <v>23</v>
      </c>
      <c r="K11" s="3" t="s">
        <v>24</v>
      </c>
      <c r="L11" s="3" t="s">
        <v>25</v>
      </c>
    </row>
    <row r="12" spans="1:12">
      <c r="A12" s="4" t="s">
        <v>18</v>
      </c>
      <c r="B12" s="3" t="s">
        <v>19</v>
      </c>
      <c r="C12" s="4" t="s">
        <v>20</v>
      </c>
      <c r="D12" s="4">
        <v>75</v>
      </c>
      <c r="E12" s="3" t="s">
        <v>34</v>
      </c>
      <c r="F12" s="3" t="s">
        <v>34</v>
      </c>
      <c r="G12" s="3" t="s">
        <v>35</v>
      </c>
      <c r="H12" s="4" t="s">
        <v>18</v>
      </c>
      <c r="I12" s="4" t="s">
        <v>36</v>
      </c>
      <c r="J12" s="4" t="s">
        <v>37</v>
      </c>
      <c r="K12" s="3" t="s">
        <v>24</v>
      </c>
      <c r="L12" s="3" t="s">
        <v>25</v>
      </c>
    </row>
    <row r="13" spans="1:12">
      <c r="A13" s="4" t="s">
        <v>18</v>
      </c>
      <c r="B13" s="3" t="s">
        <v>19</v>
      </c>
      <c r="C13" s="4" t="s">
        <v>20</v>
      </c>
      <c r="D13" s="4">
        <v>89</v>
      </c>
      <c r="E13" s="3" t="s">
        <v>38</v>
      </c>
      <c r="F13" s="3" t="s">
        <v>38</v>
      </c>
      <c r="G13" s="3" t="s">
        <v>39</v>
      </c>
      <c r="H13" s="4" t="s">
        <v>18</v>
      </c>
      <c r="I13" s="4" t="s">
        <v>40</v>
      </c>
      <c r="J13" s="4" t="s">
        <v>37</v>
      </c>
      <c r="K13" s="3" t="s">
        <v>24</v>
      </c>
      <c r="L13" s="3" t="s">
        <v>25</v>
      </c>
    </row>
    <row r="14" spans="1:12">
      <c r="A14" s="4" t="s">
        <v>18</v>
      </c>
      <c r="B14" s="3" t="s">
        <v>19</v>
      </c>
      <c r="C14" s="4" t="s">
        <v>41</v>
      </c>
      <c r="D14" s="4">
        <v>10</v>
      </c>
      <c r="E14" s="3" t="s">
        <v>42</v>
      </c>
      <c r="F14" s="3" t="s">
        <v>42</v>
      </c>
      <c r="G14" s="3" t="s">
        <v>43</v>
      </c>
      <c r="H14" s="4" t="s">
        <v>44</v>
      </c>
      <c r="I14" s="4" t="s">
        <v>45</v>
      </c>
      <c r="J14" s="4" t="s">
        <v>37</v>
      </c>
      <c r="K14" s="3" t="s">
        <v>46</v>
      </c>
      <c r="L14" s="3" t="s">
        <v>25</v>
      </c>
    </row>
    <row r="15" spans="1:12">
      <c r="A15" s="4" t="s">
        <v>18</v>
      </c>
      <c r="B15" s="3" t="s">
        <v>19</v>
      </c>
      <c r="C15" s="4" t="s">
        <v>41</v>
      </c>
      <c r="D15" s="4">
        <v>86</v>
      </c>
      <c r="E15" s="3" t="s">
        <v>47</v>
      </c>
      <c r="F15" s="3" t="s">
        <v>47</v>
      </c>
      <c r="G15" s="3" t="s">
        <v>43</v>
      </c>
      <c r="H15" s="4" t="s">
        <v>48</v>
      </c>
      <c r="I15" s="4" t="s">
        <v>48</v>
      </c>
      <c r="J15" s="4" t="s">
        <v>37</v>
      </c>
      <c r="K15" s="3" t="s">
        <v>49</v>
      </c>
      <c r="L15" s="3" t="s">
        <v>25</v>
      </c>
    </row>
    <row r="16" spans="1:12">
      <c r="A16" s="4" t="s">
        <v>18</v>
      </c>
      <c r="B16" s="3" t="s">
        <v>19</v>
      </c>
      <c r="C16" s="4" t="s">
        <v>41</v>
      </c>
      <c r="D16" s="4">
        <v>92</v>
      </c>
      <c r="E16" s="3" t="s">
        <v>50</v>
      </c>
      <c r="F16" s="3" t="s">
        <v>50</v>
      </c>
      <c r="G16" s="3" t="s">
        <v>43</v>
      </c>
      <c r="H16" s="4" t="s">
        <v>51</v>
      </c>
      <c r="I16" s="4" t="s">
        <v>52</v>
      </c>
      <c r="J16" s="4" t="s">
        <v>37</v>
      </c>
      <c r="K16" s="3" t="s">
        <v>53</v>
      </c>
      <c r="L16" s="3" t="s">
        <v>25</v>
      </c>
    </row>
    <row r="17" spans="1:12">
      <c r="A17" s="4" t="s">
        <v>44</v>
      </c>
      <c r="B17" s="3" t="s">
        <v>54</v>
      </c>
      <c r="C17" s="4" t="s">
        <v>20</v>
      </c>
      <c r="D17" s="4">
        <v>7</v>
      </c>
      <c r="E17" s="3" t="s">
        <v>55</v>
      </c>
      <c r="F17" s="3" t="s">
        <v>55</v>
      </c>
      <c r="G17" s="3" t="s">
        <v>56</v>
      </c>
      <c r="H17" s="4" t="s">
        <v>44</v>
      </c>
      <c r="I17" s="4"/>
      <c r="J17" s="4" t="s">
        <v>23</v>
      </c>
      <c r="K17" s="3" t="s">
        <v>57</v>
      </c>
      <c r="L17" s="3" t="s">
        <v>58</v>
      </c>
    </row>
    <row r="18" spans="1:12">
      <c r="A18" s="4" t="s">
        <v>44</v>
      </c>
      <c r="B18" s="3" t="s">
        <v>54</v>
      </c>
      <c r="C18" s="4" t="s">
        <v>20</v>
      </c>
      <c r="D18" s="4">
        <v>10</v>
      </c>
      <c r="E18" s="3" t="s">
        <v>42</v>
      </c>
      <c r="F18" s="3" t="s">
        <v>42</v>
      </c>
      <c r="G18" s="3" t="s">
        <v>59</v>
      </c>
      <c r="H18" s="4" t="s">
        <v>44</v>
      </c>
      <c r="I18" s="4" t="s">
        <v>60</v>
      </c>
      <c r="J18" s="4" t="s">
        <v>23</v>
      </c>
      <c r="K18" s="3" t="s">
        <v>57</v>
      </c>
      <c r="L18" s="3" t="s">
        <v>58</v>
      </c>
    </row>
    <row r="19" spans="1:12">
      <c r="A19" s="4" t="s">
        <v>44</v>
      </c>
      <c r="B19" s="3" t="s">
        <v>54</v>
      </c>
      <c r="C19" s="4" t="s">
        <v>20</v>
      </c>
      <c r="D19" s="4">
        <v>31</v>
      </c>
      <c r="E19" s="3" t="s">
        <v>61</v>
      </c>
      <c r="F19" s="3" t="s">
        <v>61</v>
      </c>
      <c r="G19" s="3" t="s">
        <v>62</v>
      </c>
      <c r="H19" s="4" t="s">
        <v>44</v>
      </c>
      <c r="I19" s="4"/>
      <c r="J19" s="4" t="s">
        <v>23</v>
      </c>
      <c r="K19" s="3" t="s">
        <v>57</v>
      </c>
      <c r="L19" s="3" t="s">
        <v>58</v>
      </c>
    </row>
    <row r="20" spans="1:12">
      <c r="A20" s="4" t="s">
        <v>44</v>
      </c>
      <c r="B20" s="3" t="s">
        <v>54</v>
      </c>
      <c r="C20" s="4" t="s">
        <v>20</v>
      </c>
      <c r="D20" s="4">
        <v>46</v>
      </c>
      <c r="E20" s="3" t="s">
        <v>63</v>
      </c>
      <c r="F20" s="3" t="s">
        <v>63</v>
      </c>
      <c r="G20" s="3" t="s">
        <v>64</v>
      </c>
      <c r="H20" s="4" t="s">
        <v>44</v>
      </c>
      <c r="I20" s="4" t="s">
        <v>65</v>
      </c>
      <c r="J20" s="4" t="s">
        <v>23</v>
      </c>
      <c r="K20" s="3" t="s">
        <v>57</v>
      </c>
      <c r="L20" s="3" t="s">
        <v>58</v>
      </c>
    </row>
    <row r="21" spans="1:12">
      <c r="A21" s="4" t="s">
        <v>44</v>
      </c>
      <c r="B21" s="3" t="s">
        <v>54</v>
      </c>
      <c r="C21" s="4" t="s">
        <v>20</v>
      </c>
      <c r="D21" s="4">
        <v>47</v>
      </c>
      <c r="E21" s="3" t="s">
        <v>66</v>
      </c>
      <c r="F21" s="3" t="s">
        <v>66</v>
      </c>
      <c r="G21" s="3" t="s">
        <v>67</v>
      </c>
      <c r="H21" s="4" t="s">
        <v>44</v>
      </c>
      <c r="I21" s="4" t="s">
        <v>68</v>
      </c>
      <c r="J21" s="4" t="s">
        <v>23</v>
      </c>
      <c r="K21" s="3" t="s">
        <v>57</v>
      </c>
      <c r="L21" s="3" t="s">
        <v>58</v>
      </c>
    </row>
    <row r="22" spans="1:12">
      <c r="A22" s="4" t="s">
        <v>44</v>
      </c>
      <c r="B22" s="3" t="s">
        <v>54</v>
      </c>
      <c r="C22" s="4" t="s">
        <v>20</v>
      </c>
      <c r="D22" s="4">
        <v>69</v>
      </c>
      <c r="E22" s="3" t="s">
        <v>69</v>
      </c>
      <c r="F22" s="3" t="s">
        <v>69</v>
      </c>
      <c r="G22" s="3" t="s">
        <v>70</v>
      </c>
      <c r="H22" s="4" t="s">
        <v>44</v>
      </c>
      <c r="I22" s="4" t="s">
        <v>71</v>
      </c>
      <c r="J22" s="4" t="s">
        <v>23</v>
      </c>
      <c r="K22" s="3" t="s">
        <v>57</v>
      </c>
      <c r="L22" s="3" t="s">
        <v>58</v>
      </c>
    </row>
    <row r="23" spans="1:12">
      <c r="A23" s="4" t="s">
        <v>44</v>
      </c>
      <c r="B23" s="3" t="s">
        <v>54</v>
      </c>
      <c r="C23" s="4" t="s">
        <v>41</v>
      </c>
      <c r="D23" s="4">
        <v>66</v>
      </c>
      <c r="E23" s="3" t="s">
        <v>72</v>
      </c>
      <c r="F23" s="3" t="s">
        <v>72</v>
      </c>
      <c r="G23" s="3" t="s">
        <v>43</v>
      </c>
      <c r="H23" s="4" t="s">
        <v>73</v>
      </c>
      <c r="I23" s="4" t="s">
        <v>74</v>
      </c>
      <c r="J23" s="4" t="s">
        <v>37</v>
      </c>
      <c r="K23" s="3" t="s">
        <v>75</v>
      </c>
      <c r="L23" s="3" t="s">
        <v>58</v>
      </c>
    </row>
    <row r="24" spans="1:12">
      <c r="A24" s="4" t="s">
        <v>44</v>
      </c>
      <c r="B24" s="3" t="s">
        <v>54</v>
      </c>
      <c r="C24" s="4" t="s">
        <v>41</v>
      </c>
      <c r="D24" s="4">
        <v>68</v>
      </c>
      <c r="E24" s="3" t="s">
        <v>76</v>
      </c>
      <c r="F24" s="3" t="s">
        <v>76</v>
      </c>
      <c r="G24" s="3" t="s">
        <v>43</v>
      </c>
      <c r="H24" s="4" t="s">
        <v>77</v>
      </c>
      <c r="I24" s="4" t="s">
        <v>77</v>
      </c>
      <c r="J24" s="4" t="s">
        <v>37</v>
      </c>
      <c r="K24" s="3" t="s">
        <v>78</v>
      </c>
      <c r="L24" s="3" t="s">
        <v>58</v>
      </c>
    </row>
    <row r="25" spans="1:12">
      <c r="A25" s="4" t="s">
        <v>44</v>
      </c>
      <c r="B25" s="3" t="s">
        <v>54</v>
      </c>
      <c r="C25" s="4" t="s">
        <v>41</v>
      </c>
      <c r="D25" s="4">
        <v>89</v>
      </c>
      <c r="E25" s="3" t="s">
        <v>38</v>
      </c>
      <c r="F25" s="3" t="s">
        <v>38</v>
      </c>
      <c r="G25" s="3" t="s">
        <v>43</v>
      </c>
      <c r="H25" s="4" t="s">
        <v>18</v>
      </c>
      <c r="I25" s="4" t="s">
        <v>79</v>
      </c>
      <c r="J25" s="4" t="s">
        <v>37</v>
      </c>
      <c r="K25" s="3" t="s">
        <v>80</v>
      </c>
      <c r="L25" s="3" t="s">
        <v>58</v>
      </c>
    </row>
    <row r="26" spans="1:12">
      <c r="A26" s="4" t="s">
        <v>68</v>
      </c>
      <c r="B26" s="3" t="s">
        <v>81</v>
      </c>
      <c r="C26" s="4" t="s">
        <v>20</v>
      </c>
      <c r="D26" s="4">
        <v>4</v>
      </c>
      <c r="E26" s="3" t="s">
        <v>82</v>
      </c>
      <c r="F26" s="3" t="s">
        <v>82</v>
      </c>
      <c r="G26" s="3" t="s">
        <v>83</v>
      </c>
      <c r="H26" s="4" t="s">
        <v>68</v>
      </c>
      <c r="I26" s="4"/>
      <c r="J26" s="4" t="s">
        <v>23</v>
      </c>
      <c r="K26" s="3" t="s">
        <v>84</v>
      </c>
      <c r="L26" s="3" t="s">
        <v>85</v>
      </c>
    </row>
    <row r="27" spans="1:12">
      <c r="A27" s="4" t="s">
        <v>68</v>
      </c>
      <c r="B27" s="3" t="s">
        <v>81</v>
      </c>
      <c r="C27" s="4" t="s">
        <v>20</v>
      </c>
      <c r="D27" s="4">
        <v>41</v>
      </c>
      <c r="E27" s="3" t="s">
        <v>86</v>
      </c>
      <c r="F27" s="3" t="s">
        <v>86</v>
      </c>
      <c r="G27" s="3" t="s">
        <v>87</v>
      </c>
      <c r="H27" s="4" t="s">
        <v>68</v>
      </c>
      <c r="I27" s="4" t="s">
        <v>88</v>
      </c>
      <c r="J27" s="4" t="s">
        <v>23</v>
      </c>
      <c r="K27" s="3" t="s">
        <v>84</v>
      </c>
      <c r="L27" s="3" t="s">
        <v>85</v>
      </c>
    </row>
    <row r="28" spans="1:12">
      <c r="A28" s="4" t="s">
        <v>68</v>
      </c>
      <c r="B28" s="3" t="s">
        <v>81</v>
      </c>
      <c r="C28" s="4" t="s">
        <v>20</v>
      </c>
      <c r="D28" s="4">
        <v>70</v>
      </c>
      <c r="E28" s="3" t="s">
        <v>89</v>
      </c>
      <c r="F28" s="3" t="s">
        <v>89</v>
      </c>
      <c r="G28" s="3" t="s">
        <v>90</v>
      </c>
      <c r="H28" s="4" t="s">
        <v>68</v>
      </c>
      <c r="I28" s="4"/>
      <c r="J28" s="4" t="s">
        <v>23</v>
      </c>
      <c r="K28" s="3" t="s">
        <v>84</v>
      </c>
      <c r="L28" s="3" t="s">
        <v>85</v>
      </c>
    </row>
    <row r="29" spans="1:12">
      <c r="A29" s="4" t="s">
        <v>68</v>
      </c>
      <c r="B29" s="3" t="s">
        <v>81</v>
      </c>
      <c r="C29" s="4" t="s">
        <v>41</v>
      </c>
      <c r="D29" s="4">
        <v>10</v>
      </c>
      <c r="E29" s="3" t="s">
        <v>42</v>
      </c>
      <c r="F29" s="3" t="s">
        <v>42</v>
      </c>
      <c r="G29" s="3" t="s">
        <v>43</v>
      </c>
      <c r="H29" s="4" t="s">
        <v>44</v>
      </c>
      <c r="I29" s="4" t="s">
        <v>91</v>
      </c>
      <c r="J29" s="4" t="s">
        <v>37</v>
      </c>
      <c r="K29" s="3" t="s">
        <v>92</v>
      </c>
      <c r="L29" s="3" t="s">
        <v>85</v>
      </c>
    </row>
    <row r="30" spans="1:12">
      <c r="A30" s="4" t="s">
        <v>68</v>
      </c>
      <c r="B30" s="3" t="s">
        <v>81</v>
      </c>
      <c r="C30" s="4" t="s">
        <v>41</v>
      </c>
      <c r="D30" s="4">
        <v>38</v>
      </c>
      <c r="E30" s="3" t="s">
        <v>93</v>
      </c>
      <c r="F30" s="3" t="s">
        <v>93</v>
      </c>
      <c r="G30" s="3" t="s">
        <v>43</v>
      </c>
      <c r="H30" s="4" t="s">
        <v>94</v>
      </c>
      <c r="I30" s="4" t="s">
        <v>94</v>
      </c>
      <c r="J30" s="4" t="s">
        <v>37</v>
      </c>
      <c r="K30" s="3" t="s">
        <v>95</v>
      </c>
      <c r="L30" s="3" t="s">
        <v>85</v>
      </c>
    </row>
    <row r="31" spans="1:12">
      <c r="A31" s="4" t="s">
        <v>68</v>
      </c>
      <c r="B31" s="3" t="s">
        <v>81</v>
      </c>
      <c r="C31" s="4" t="s">
        <v>41</v>
      </c>
      <c r="D31" s="4">
        <v>47</v>
      </c>
      <c r="E31" s="3" t="s">
        <v>66</v>
      </c>
      <c r="F31" s="3" t="s">
        <v>66</v>
      </c>
      <c r="G31" s="3" t="s">
        <v>43</v>
      </c>
      <c r="H31" s="4" t="s">
        <v>44</v>
      </c>
      <c r="I31" s="4" t="s">
        <v>44</v>
      </c>
      <c r="J31" s="4" t="s">
        <v>37</v>
      </c>
      <c r="K31" s="3" t="s">
        <v>92</v>
      </c>
      <c r="L31" s="3" t="s">
        <v>85</v>
      </c>
    </row>
    <row r="32" spans="1:12">
      <c r="A32" s="4" t="s">
        <v>68</v>
      </c>
      <c r="B32" s="3" t="s">
        <v>81</v>
      </c>
      <c r="C32" s="4" t="s">
        <v>41</v>
      </c>
      <c r="D32" s="4">
        <v>69</v>
      </c>
      <c r="E32" s="3" t="s">
        <v>69</v>
      </c>
      <c r="F32" s="3" t="s">
        <v>69</v>
      </c>
      <c r="G32" s="3" t="s">
        <v>43</v>
      </c>
      <c r="H32" s="4" t="s">
        <v>44</v>
      </c>
      <c r="I32" s="4" t="s">
        <v>96</v>
      </c>
      <c r="J32" s="4" t="s">
        <v>37</v>
      </c>
      <c r="K32" s="3" t="s">
        <v>92</v>
      </c>
      <c r="L32" s="3" t="s">
        <v>85</v>
      </c>
    </row>
    <row r="33" spans="1:12">
      <c r="A33" s="4" t="s">
        <v>68</v>
      </c>
      <c r="B33" s="3" t="s">
        <v>81</v>
      </c>
      <c r="C33" s="4" t="s">
        <v>41</v>
      </c>
      <c r="D33" s="4">
        <v>73</v>
      </c>
      <c r="E33" s="3" t="s">
        <v>97</v>
      </c>
      <c r="F33" s="3" t="s">
        <v>97</v>
      </c>
      <c r="G33" s="3" t="s">
        <v>43</v>
      </c>
      <c r="H33" s="4" t="s">
        <v>98</v>
      </c>
      <c r="I33" s="4" t="s">
        <v>98</v>
      </c>
      <c r="J33" s="4" t="s">
        <v>37</v>
      </c>
      <c r="K33" s="3" t="s">
        <v>99</v>
      </c>
      <c r="L33" s="3" t="s">
        <v>85</v>
      </c>
    </row>
    <row r="34" spans="1:12">
      <c r="A34" s="4" t="s">
        <v>68</v>
      </c>
      <c r="B34" s="3" t="s">
        <v>81</v>
      </c>
      <c r="C34" s="4" t="s">
        <v>41</v>
      </c>
      <c r="D34" s="4">
        <v>76</v>
      </c>
      <c r="E34" s="3" t="s">
        <v>100</v>
      </c>
      <c r="F34" s="3" t="s">
        <v>100</v>
      </c>
      <c r="G34" s="3" t="s">
        <v>43</v>
      </c>
      <c r="H34" s="4" t="s">
        <v>94</v>
      </c>
      <c r="I34" s="4" t="s">
        <v>94</v>
      </c>
      <c r="J34" s="4" t="s">
        <v>37</v>
      </c>
      <c r="K34" s="3" t="s">
        <v>95</v>
      </c>
      <c r="L34" s="3" t="s">
        <v>85</v>
      </c>
    </row>
    <row r="35" spans="1:12">
      <c r="A35" s="4" t="s">
        <v>94</v>
      </c>
      <c r="B35" s="3" t="s">
        <v>101</v>
      </c>
      <c r="C35" s="4" t="s">
        <v>20</v>
      </c>
      <c r="D35" s="4">
        <v>9</v>
      </c>
      <c r="E35" s="3" t="s">
        <v>102</v>
      </c>
      <c r="F35" s="3" t="s">
        <v>102</v>
      </c>
      <c r="G35" s="3" t="s">
        <v>103</v>
      </c>
      <c r="H35" s="4" t="s">
        <v>94</v>
      </c>
      <c r="I35" s="4"/>
      <c r="J35" s="4" t="s">
        <v>23</v>
      </c>
      <c r="K35" s="3" t="s">
        <v>104</v>
      </c>
      <c r="L35" s="3" t="s">
        <v>105</v>
      </c>
    </row>
    <row r="36" spans="1:12">
      <c r="A36" s="4" t="s">
        <v>94</v>
      </c>
      <c r="B36" s="3" t="s">
        <v>101</v>
      </c>
      <c r="C36" s="4" t="s">
        <v>20</v>
      </c>
      <c r="D36" s="4">
        <v>38</v>
      </c>
      <c r="E36" s="3" t="s">
        <v>93</v>
      </c>
      <c r="F36" s="3" t="s">
        <v>93</v>
      </c>
      <c r="G36" s="3" t="s">
        <v>106</v>
      </c>
      <c r="H36" s="4" t="s">
        <v>94</v>
      </c>
      <c r="I36" s="4" t="s">
        <v>68</v>
      </c>
      <c r="J36" s="4" t="s">
        <v>23</v>
      </c>
      <c r="K36" s="3" t="s">
        <v>104</v>
      </c>
      <c r="L36" s="3" t="s">
        <v>105</v>
      </c>
    </row>
    <row r="37" spans="1:12">
      <c r="A37" s="4" t="s">
        <v>94</v>
      </c>
      <c r="B37" s="3" t="s">
        <v>101</v>
      </c>
      <c r="C37" s="4" t="s">
        <v>20</v>
      </c>
      <c r="D37" s="4">
        <v>51</v>
      </c>
      <c r="E37" s="3" t="s">
        <v>107</v>
      </c>
      <c r="F37" s="3" t="s">
        <v>107</v>
      </c>
      <c r="G37" s="3" t="s">
        <v>108</v>
      </c>
      <c r="H37" s="4" t="s">
        <v>94</v>
      </c>
      <c r="I37" s="4"/>
      <c r="J37" s="4" t="s">
        <v>23</v>
      </c>
      <c r="K37" s="3" t="s">
        <v>104</v>
      </c>
      <c r="L37" s="3" t="s">
        <v>105</v>
      </c>
    </row>
    <row r="38" spans="1:12">
      <c r="A38" s="4" t="s">
        <v>94</v>
      </c>
      <c r="B38" s="3" t="s">
        <v>101</v>
      </c>
      <c r="C38" s="4" t="s">
        <v>20</v>
      </c>
      <c r="D38" s="4">
        <v>65</v>
      </c>
      <c r="E38" s="3" t="s">
        <v>109</v>
      </c>
      <c r="F38" s="3" t="s">
        <v>109</v>
      </c>
      <c r="G38" s="3" t="s">
        <v>110</v>
      </c>
      <c r="H38" s="4" t="s">
        <v>94</v>
      </c>
      <c r="I38" s="4" t="s">
        <v>111</v>
      </c>
      <c r="J38" s="4" t="s">
        <v>23</v>
      </c>
      <c r="K38" s="3" t="s">
        <v>104</v>
      </c>
      <c r="L38" s="3" t="s">
        <v>105</v>
      </c>
    </row>
    <row r="39" spans="1:12">
      <c r="A39" s="4" t="s">
        <v>94</v>
      </c>
      <c r="B39" s="3" t="s">
        <v>101</v>
      </c>
      <c r="C39" s="4" t="s">
        <v>20</v>
      </c>
      <c r="D39" s="4">
        <v>76</v>
      </c>
      <c r="E39" s="3" t="s">
        <v>100</v>
      </c>
      <c r="F39" s="3" t="s">
        <v>100</v>
      </c>
      <c r="G39" s="3" t="s">
        <v>112</v>
      </c>
      <c r="H39" s="4" t="s">
        <v>94</v>
      </c>
      <c r="I39" s="4" t="s">
        <v>68</v>
      </c>
      <c r="J39" s="4" t="s">
        <v>23</v>
      </c>
      <c r="K39" s="3" t="s">
        <v>104</v>
      </c>
      <c r="L39" s="3" t="s">
        <v>105</v>
      </c>
    </row>
    <row r="40" spans="1:12">
      <c r="A40" s="4" t="s">
        <v>94</v>
      </c>
      <c r="B40" s="3" t="s">
        <v>101</v>
      </c>
      <c r="C40" s="4" t="s">
        <v>41</v>
      </c>
      <c r="D40" s="4">
        <v>5</v>
      </c>
      <c r="E40" s="3" t="s">
        <v>113</v>
      </c>
      <c r="F40" s="3" t="s">
        <v>113</v>
      </c>
      <c r="G40" s="3" t="s">
        <v>43</v>
      </c>
      <c r="H40" s="4" t="s">
        <v>111</v>
      </c>
      <c r="I40" s="4" t="s">
        <v>111</v>
      </c>
      <c r="J40" s="4" t="s">
        <v>37</v>
      </c>
      <c r="K40" s="3" t="s">
        <v>114</v>
      </c>
      <c r="L40" s="3" t="s">
        <v>105</v>
      </c>
    </row>
    <row r="41" spans="1:12">
      <c r="A41" s="4" t="s">
        <v>94</v>
      </c>
      <c r="B41" s="3" t="s">
        <v>101</v>
      </c>
      <c r="C41" s="4" t="s">
        <v>41</v>
      </c>
      <c r="D41" s="4">
        <v>6</v>
      </c>
      <c r="E41" s="3" t="s">
        <v>115</v>
      </c>
      <c r="F41" s="3" t="s">
        <v>115</v>
      </c>
      <c r="G41" s="3" t="s">
        <v>43</v>
      </c>
      <c r="H41" s="4" t="s">
        <v>77</v>
      </c>
      <c r="I41" s="4" t="s">
        <v>77</v>
      </c>
      <c r="J41" s="4" t="s">
        <v>37</v>
      </c>
      <c r="K41" s="3" t="s">
        <v>116</v>
      </c>
      <c r="L41" s="3" t="s">
        <v>105</v>
      </c>
    </row>
    <row r="42" spans="1:12">
      <c r="A42" s="4" t="s">
        <v>94</v>
      </c>
      <c r="B42" s="3" t="s">
        <v>101</v>
      </c>
      <c r="C42" s="4" t="s">
        <v>41</v>
      </c>
      <c r="D42" s="4">
        <v>41</v>
      </c>
      <c r="E42" s="3" t="s">
        <v>86</v>
      </c>
      <c r="F42" s="3" t="s">
        <v>86</v>
      </c>
      <c r="G42" s="3" t="s">
        <v>43</v>
      </c>
      <c r="H42" s="4" t="s">
        <v>68</v>
      </c>
      <c r="I42" s="4" t="s">
        <v>117</v>
      </c>
      <c r="J42" s="4" t="s">
        <v>37</v>
      </c>
      <c r="K42" s="3" t="s">
        <v>118</v>
      </c>
      <c r="L42" s="3" t="s">
        <v>105</v>
      </c>
    </row>
    <row r="43" spans="1:12">
      <c r="A43" s="4" t="s">
        <v>94</v>
      </c>
      <c r="B43" s="3" t="s">
        <v>101</v>
      </c>
      <c r="C43" s="4" t="s">
        <v>41</v>
      </c>
      <c r="D43" s="4">
        <v>74</v>
      </c>
      <c r="E43" s="3" t="s">
        <v>119</v>
      </c>
      <c r="F43" s="3" t="s">
        <v>119</v>
      </c>
      <c r="G43" s="3" t="s">
        <v>43</v>
      </c>
      <c r="H43" s="4" t="s">
        <v>120</v>
      </c>
      <c r="I43" s="4" t="s">
        <v>121</v>
      </c>
      <c r="J43" s="4" t="s">
        <v>37</v>
      </c>
      <c r="K43" s="3" t="s">
        <v>122</v>
      </c>
      <c r="L43" s="3" t="s">
        <v>105</v>
      </c>
    </row>
    <row r="44" spans="1:12">
      <c r="A44" s="4" t="s">
        <v>94</v>
      </c>
      <c r="B44" s="3" t="s">
        <v>101</v>
      </c>
      <c r="C44" s="4" t="s">
        <v>41</v>
      </c>
      <c r="D44" s="4">
        <v>90</v>
      </c>
      <c r="E44" s="3" t="s">
        <v>123</v>
      </c>
      <c r="F44" s="3" t="s">
        <v>123</v>
      </c>
      <c r="G44" s="3" t="s">
        <v>43</v>
      </c>
      <c r="H44" s="4" t="s">
        <v>124</v>
      </c>
      <c r="I44" s="4" t="s">
        <v>125</v>
      </c>
      <c r="J44" s="4" t="s">
        <v>126</v>
      </c>
      <c r="K44" s="3" t="s">
        <v>127</v>
      </c>
      <c r="L44" s="3" t="s">
        <v>105</v>
      </c>
    </row>
    <row r="45" spans="1:12">
      <c r="A45" s="4" t="s">
        <v>111</v>
      </c>
      <c r="B45" s="3" t="s">
        <v>128</v>
      </c>
      <c r="C45" s="4" t="s">
        <v>20</v>
      </c>
      <c r="D45" s="4">
        <v>2</v>
      </c>
      <c r="E45" s="3" t="s">
        <v>129</v>
      </c>
      <c r="F45" s="3" t="s">
        <v>129</v>
      </c>
      <c r="G45" s="3" t="s">
        <v>130</v>
      </c>
      <c r="H45" s="4" t="s">
        <v>111</v>
      </c>
      <c r="I45" s="4"/>
      <c r="J45" s="4" t="s">
        <v>23</v>
      </c>
      <c r="K45" s="3" t="s">
        <v>131</v>
      </c>
      <c r="L45" s="3" t="s">
        <v>132</v>
      </c>
    </row>
    <row r="46" spans="1:12">
      <c r="A46" s="4" t="s">
        <v>111</v>
      </c>
      <c r="B46" s="3" t="s">
        <v>128</v>
      </c>
      <c r="C46" s="4" t="s">
        <v>20</v>
      </c>
      <c r="D46" s="4">
        <v>5</v>
      </c>
      <c r="E46" s="3" t="s">
        <v>113</v>
      </c>
      <c r="F46" s="3" t="s">
        <v>113</v>
      </c>
      <c r="G46" s="3" t="s">
        <v>133</v>
      </c>
      <c r="H46" s="4" t="s">
        <v>111</v>
      </c>
      <c r="I46" s="4" t="s">
        <v>94</v>
      </c>
      <c r="J46" s="4" t="s">
        <v>23</v>
      </c>
      <c r="K46" s="3" t="s">
        <v>131</v>
      </c>
      <c r="L46" s="3" t="s">
        <v>132</v>
      </c>
    </row>
    <row r="47" spans="1:12">
      <c r="A47" s="4" t="s">
        <v>111</v>
      </c>
      <c r="B47" s="3" t="s">
        <v>128</v>
      </c>
      <c r="C47" s="4" t="s">
        <v>20</v>
      </c>
      <c r="D47" s="4">
        <v>81</v>
      </c>
      <c r="E47" s="3" t="s">
        <v>134</v>
      </c>
      <c r="F47" s="3" t="s">
        <v>134</v>
      </c>
      <c r="G47" s="3" t="s">
        <v>135</v>
      </c>
      <c r="H47" s="4" t="s">
        <v>111</v>
      </c>
      <c r="I47" s="4"/>
      <c r="J47" s="4" t="s">
        <v>23</v>
      </c>
      <c r="K47" s="3" t="s">
        <v>131</v>
      </c>
      <c r="L47" s="3" t="s">
        <v>132</v>
      </c>
    </row>
    <row r="48" spans="1:12">
      <c r="A48" s="4" t="s">
        <v>111</v>
      </c>
      <c r="B48" s="3" t="s">
        <v>128</v>
      </c>
      <c r="C48" s="4" t="s">
        <v>20</v>
      </c>
      <c r="D48" s="4">
        <v>82</v>
      </c>
      <c r="E48" s="3" t="s">
        <v>136</v>
      </c>
      <c r="F48" s="3" t="s">
        <v>136</v>
      </c>
      <c r="G48" s="3" t="s">
        <v>137</v>
      </c>
      <c r="H48" s="4" t="s">
        <v>111</v>
      </c>
      <c r="I48" s="4"/>
      <c r="J48" s="4" t="s">
        <v>23</v>
      </c>
      <c r="K48" s="3" t="s">
        <v>131</v>
      </c>
      <c r="L48" s="3" t="s">
        <v>132</v>
      </c>
    </row>
    <row r="49" spans="1:12">
      <c r="A49" s="4" t="s">
        <v>111</v>
      </c>
      <c r="B49" s="3" t="s">
        <v>128</v>
      </c>
      <c r="C49" s="4" t="s">
        <v>41</v>
      </c>
      <c r="D49" s="4">
        <v>11</v>
      </c>
      <c r="E49" s="3" t="s">
        <v>138</v>
      </c>
      <c r="F49" s="3" t="s">
        <v>138</v>
      </c>
      <c r="G49" s="3" t="s">
        <v>43</v>
      </c>
      <c r="H49" s="4" t="s">
        <v>98</v>
      </c>
      <c r="I49" s="4" t="s">
        <v>139</v>
      </c>
      <c r="J49" s="4" t="s">
        <v>37</v>
      </c>
      <c r="K49" s="3" t="s">
        <v>140</v>
      </c>
      <c r="L49" s="3" t="s">
        <v>132</v>
      </c>
    </row>
    <row r="50" spans="1:12">
      <c r="A50" s="4" t="s">
        <v>111</v>
      </c>
      <c r="B50" s="3" t="s">
        <v>128</v>
      </c>
      <c r="C50" s="4" t="s">
        <v>41</v>
      </c>
      <c r="D50" s="4">
        <v>65</v>
      </c>
      <c r="E50" s="3" t="s">
        <v>109</v>
      </c>
      <c r="F50" s="3" t="s">
        <v>109</v>
      </c>
      <c r="G50" s="3" t="s">
        <v>43</v>
      </c>
      <c r="H50" s="4" t="s">
        <v>94</v>
      </c>
      <c r="I50" s="4" t="s">
        <v>94</v>
      </c>
      <c r="J50" s="4" t="s">
        <v>37</v>
      </c>
      <c r="K50" s="3" t="s">
        <v>141</v>
      </c>
      <c r="L50" s="3" t="s">
        <v>132</v>
      </c>
    </row>
    <row r="51" spans="1:12">
      <c r="A51" s="4" t="s">
        <v>111</v>
      </c>
      <c r="B51" s="3" t="s">
        <v>128</v>
      </c>
      <c r="C51" s="4" t="s">
        <v>41</v>
      </c>
      <c r="D51" s="4">
        <v>90</v>
      </c>
      <c r="E51" s="3" t="s">
        <v>123</v>
      </c>
      <c r="F51" s="3" t="s">
        <v>123</v>
      </c>
      <c r="G51" s="3" t="s">
        <v>43</v>
      </c>
      <c r="H51" s="4" t="s">
        <v>124</v>
      </c>
      <c r="I51" s="4" t="s">
        <v>142</v>
      </c>
      <c r="J51" s="4" t="s">
        <v>126</v>
      </c>
      <c r="K51" s="3" t="s">
        <v>143</v>
      </c>
      <c r="L51" s="3" t="s">
        <v>132</v>
      </c>
    </row>
    <row r="52" spans="1:12">
      <c r="A52" s="4" t="s">
        <v>111</v>
      </c>
      <c r="B52" s="3" t="s">
        <v>128</v>
      </c>
      <c r="C52" s="4" t="s">
        <v>41</v>
      </c>
      <c r="D52" s="4">
        <v>91</v>
      </c>
      <c r="E52" s="3" t="s">
        <v>144</v>
      </c>
      <c r="F52" s="3" t="s">
        <v>144</v>
      </c>
      <c r="G52" s="3" t="s">
        <v>43</v>
      </c>
      <c r="H52" s="4" t="s">
        <v>145</v>
      </c>
      <c r="I52" s="4" t="s">
        <v>146</v>
      </c>
      <c r="J52" s="4" t="s">
        <v>37</v>
      </c>
      <c r="K52" s="3" t="s">
        <v>147</v>
      </c>
      <c r="L52" s="3" t="s">
        <v>132</v>
      </c>
    </row>
    <row r="53" spans="1:12">
      <c r="A53" s="4" t="s">
        <v>124</v>
      </c>
      <c r="B53" s="3" t="s">
        <v>148</v>
      </c>
      <c r="C53" s="4" t="s">
        <v>20</v>
      </c>
      <c r="D53" s="4">
        <v>8</v>
      </c>
      <c r="E53" s="3" t="s">
        <v>149</v>
      </c>
      <c r="F53" s="3" t="s">
        <v>149</v>
      </c>
      <c r="G53" s="3" t="s">
        <v>150</v>
      </c>
      <c r="H53" s="4" t="s">
        <v>124</v>
      </c>
      <c r="I53" s="4"/>
      <c r="J53" s="4" t="s">
        <v>23</v>
      </c>
      <c r="K53" s="3" t="s">
        <v>151</v>
      </c>
      <c r="L53" s="3" t="s">
        <v>152</v>
      </c>
    </row>
    <row r="54" spans="1:12">
      <c r="A54" s="4" t="s">
        <v>124</v>
      </c>
      <c r="B54" s="3" t="s">
        <v>148</v>
      </c>
      <c r="C54" s="4" t="s">
        <v>20</v>
      </c>
      <c r="D54" s="4">
        <v>13</v>
      </c>
      <c r="E54" s="3" t="s">
        <v>153</v>
      </c>
      <c r="F54" s="3" t="s">
        <v>154</v>
      </c>
      <c r="G54" s="3" t="s">
        <v>155</v>
      </c>
      <c r="H54" s="4" t="s">
        <v>124</v>
      </c>
      <c r="I54" s="4"/>
      <c r="J54" s="4" t="s">
        <v>23</v>
      </c>
      <c r="K54" s="3" t="s">
        <v>151</v>
      </c>
      <c r="L54" s="3" t="s">
        <v>152</v>
      </c>
    </row>
    <row r="55" spans="1:12">
      <c r="A55" s="4" t="s">
        <v>124</v>
      </c>
      <c r="B55" s="3" t="s">
        <v>148</v>
      </c>
      <c r="C55" s="4" t="s">
        <v>20</v>
      </c>
      <c r="D55" s="4">
        <v>21</v>
      </c>
      <c r="E55" s="3" t="s">
        <v>156</v>
      </c>
      <c r="F55" s="3" t="s">
        <v>157</v>
      </c>
      <c r="G55" s="3" t="s">
        <v>158</v>
      </c>
      <c r="H55" s="4" t="s">
        <v>124</v>
      </c>
      <c r="I55" s="4"/>
      <c r="J55" s="4" t="s">
        <v>23</v>
      </c>
      <c r="K55" s="3" t="s">
        <v>151</v>
      </c>
      <c r="L55" s="3" t="s">
        <v>152</v>
      </c>
    </row>
    <row r="56" spans="1:12">
      <c r="A56" s="4" t="s">
        <v>124</v>
      </c>
      <c r="B56" s="3" t="s">
        <v>148</v>
      </c>
      <c r="C56" s="4" t="s">
        <v>20</v>
      </c>
      <c r="D56" s="4">
        <v>90</v>
      </c>
      <c r="E56" s="3" t="s">
        <v>123</v>
      </c>
      <c r="F56" s="3" t="s">
        <v>123</v>
      </c>
      <c r="G56" s="3" t="s">
        <v>159</v>
      </c>
      <c r="H56" s="4" t="s">
        <v>124</v>
      </c>
      <c r="I56" s="4" t="s">
        <v>160</v>
      </c>
      <c r="J56" s="4" t="s">
        <v>126</v>
      </c>
      <c r="K56" s="3" t="s">
        <v>151</v>
      </c>
      <c r="L56" s="3" t="s">
        <v>152</v>
      </c>
    </row>
    <row r="57" spans="1:12">
      <c r="A57" s="4" t="s">
        <v>124</v>
      </c>
      <c r="B57" s="3" t="s">
        <v>148</v>
      </c>
      <c r="C57" s="4" t="s">
        <v>20</v>
      </c>
      <c r="D57" s="4">
        <v>94</v>
      </c>
      <c r="E57" s="3" t="s">
        <v>161</v>
      </c>
      <c r="F57" s="3" t="s">
        <v>161</v>
      </c>
      <c r="G57" s="3" t="s">
        <v>162</v>
      </c>
      <c r="H57" s="4" t="s">
        <v>124</v>
      </c>
      <c r="I57" s="4" t="s">
        <v>145</v>
      </c>
      <c r="J57" s="4" t="s">
        <v>23</v>
      </c>
      <c r="K57" s="3" t="s">
        <v>151</v>
      </c>
      <c r="L57" s="3" t="s">
        <v>152</v>
      </c>
    </row>
    <row r="58" spans="1:12">
      <c r="A58" s="4" t="s">
        <v>124</v>
      </c>
      <c r="B58" s="3" t="s">
        <v>148</v>
      </c>
      <c r="C58" s="4" t="s">
        <v>41</v>
      </c>
      <c r="D58" s="4">
        <v>14</v>
      </c>
      <c r="E58" s="3" t="s">
        <v>163</v>
      </c>
      <c r="F58" s="3" t="s">
        <v>163</v>
      </c>
      <c r="G58" s="3" t="s">
        <v>43</v>
      </c>
      <c r="H58" s="4" t="s">
        <v>145</v>
      </c>
      <c r="I58" s="4" t="s">
        <v>145</v>
      </c>
      <c r="J58" s="4" t="s">
        <v>37</v>
      </c>
      <c r="K58" s="3" t="s">
        <v>164</v>
      </c>
      <c r="L58" s="3" t="s">
        <v>152</v>
      </c>
    </row>
    <row r="59" spans="1:12">
      <c r="A59" s="4" t="s">
        <v>124</v>
      </c>
      <c r="B59" s="3" t="s">
        <v>148</v>
      </c>
      <c r="C59" s="4" t="s">
        <v>41</v>
      </c>
      <c r="D59" s="4">
        <v>91</v>
      </c>
      <c r="E59" s="3" t="s">
        <v>144</v>
      </c>
      <c r="F59" s="3" t="s">
        <v>144</v>
      </c>
      <c r="G59" s="3" t="s">
        <v>43</v>
      </c>
      <c r="H59" s="4" t="s">
        <v>145</v>
      </c>
      <c r="I59" s="4" t="s">
        <v>165</v>
      </c>
      <c r="J59" s="4" t="s">
        <v>37</v>
      </c>
      <c r="K59" s="3" t="s">
        <v>164</v>
      </c>
      <c r="L59" s="3" t="s">
        <v>152</v>
      </c>
    </row>
    <row r="60" spans="1:12">
      <c r="A60" s="4" t="s">
        <v>145</v>
      </c>
      <c r="B60" s="3" t="s">
        <v>166</v>
      </c>
      <c r="C60" s="4" t="s">
        <v>20</v>
      </c>
      <c r="D60" s="4">
        <v>3</v>
      </c>
      <c r="E60" s="3" t="s">
        <v>167</v>
      </c>
      <c r="F60" s="3" t="s">
        <v>167</v>
      </c>
      <c r="G60" s="3" t="s">
        <v>168</v>
      </c>
      <c r="H60" s="4" t="s">
        <v>145</v>
      </c>
      <c r="I60" s="4"/>
      <c r="J60" s="4" t="s">
        <v>23</v>
      </c>
      <c r="K60" s="3" t="s">
        <v>169</v>
      </c>
      <c r="L60" s="3" t="s">
        <v>170</v>
      </c>
    </row>
    <row r="61" spans="1:12">
      <c r="A61" s="4" t="s">
        <v>145</v>
      </c>
      <c r="B61" s="3" t="s">
        <v>166</v>
      </c>
      <c r="C61" s="4" t="s">
        <v>20</v>
      </c>
      <c r="D61" s="4">
        <v>14</v>
      </c>
      <c r="E61" s="3" t="s">
        <v>163</v>
      </c>
      <c r="F61" s="3" t="s">
        <v>163</v>
      </c>
      <c r="G61" s="3" t="s">
        <v>171</v>
      </c>
      <c r="H61" s="4" t="s">
        <v>145</v>
      </c>
      <c r="I61" s="4" t="s">
        <v>124</v>
      </c>
      <c r="J61" s="4" t="s">
        <v>23</v>
      </c>
      <c r="K61" s="3" t="s">
        <v>169</v>
      </c>
      <c r="L61" s="3" t="s">
        <v>170</v>
      </c>
    </row>
    <row r="62" spans="1:12">
      <c r="A62" s="4" t="s">
        <v>145</v>
      </c>
      <c r="B62" s="3" t="s">
        <v>166</v>
      </c>
      <c r="C62" s="4" t="s">
        <v>20</v>
      </c>
      <c r="D62" s="4">
        <v>33</v>
      </c>
      <c r="E62" s="3" t="s">
        <v>172</v>
      </c>
      <c r="F62" s="3" t="s">
        <v>172</v>
      </c>
      <c r="G62" s="3" t="s">
        <v>173</v>
      </c>
      <c r="H62" s="4" t="s">
        <v>145</v>
      </c>
      <c r="I62" s="4"/>
      <c r="J62" s="4" t="s">
        <v>23</v>
      </c>
      <c r="K62" s="3" t="s">
        <v>169</v>
      </c>
      <c r="L62" s="3" t="s">
        <v>170</v>
      </c>
    </row>
    <row r="63" spans="1:12">
      <c r="A63" s="4" t="s">
        <v>145</v>
      </c>
      <c r="B63" s="3" t="s">
        <v>166</v>
      </c>
      <c r="C63" s="4" t="s">
        <v>20</v>
      </c>
      <c r="D63" s="4">
        <v>60</v>
      </c>
      <c r="E63" s="3" t="s">
        <v>174</v>
      </c>
      <c r="F63" s="3" t="s">
        <v>174</v>
      </c>
      <c r="G63" s="3" t="s">
        <v>175</v>
      </c>
      <c r="H63" s="4" t="s">
        <v>145</v>
      </c>
      <c r="I63" s="4" t="s">
        <v>98</v>
      </c>
      <c r="J63" s="4" t="s">
        <v>23</v>
      </c>
      <c r="K63" s="3" t="s">
        <v>169</v>
      </c>
      <c r="L63" s="3" t="s">
        <v>170</v>
      </c>
    </row>
    <row r="64" spans="1:12">
      <c r="A64" s="4" t="s">
        <v>145</v>
      </c>
      <c r="B64" s="3" t="s">
        <v>166</v>
      </c>
      <c r="C64" s="4" t="s">
        <v>20</v>
      </c>
      <c r="D64" s="4">
        <v>91</v>
      </c>
      <c r="E64" s="3" t="s">
        <v>144</v>
      </c>
      <c r="F64" s="3" t="s">
        <v>144</v>
      </c>
      <c r="G64" s="3" t="s">
        <v>176</v>
      </c>
      <c r="H64" s="4" t="s">
        <v>145</v>
      </c>
      <c r="I64" s="4" t="s">
        <v>177</v>
      </c>
      <c r="J64" s="4" t="s">
        <v>23</v>
      </c>
      <c r="K64" s="3" t="s">
        <v>169</v>
      </c>
      <c r="L64" s="3" t="s">
        <v>170</v>
      </c>
    </row>
    <row r="65" spans="1:12">
      <c r="A65" s="4" t="s">
        <v>145</v>
      </c>
      <c r="B65" s="3" t="s">
        <v>166</v>
      </c>
      <c r="C65" s="4" t="s">
        <v>41</v>
      </c>
      <c r="D65" s="4">
        <v>15</v>
      </c>
      <c r="E65" s="3" t="s">
        <v>178</v>
      </c>
      <c r="F65" s="3" t="s">
        <v>178</v>
      </c>
      <c r="G65" s="3" t="s">
        <v>43</v>
      </c>
      <c r="H65" s="4" t="s">
        <v>98</v>
      </c>
      <c r="I65" s="4" t="s">
        <v>98</v>
      </c>
      <c r="J65" s="4" t="s">
        <v>37</v>
      </c>
      <c r="K65" s="3" t="s">
        <v>179</v>
      </c>
      <c r="L65" s="3" t="s">
        <v>170</v>
      </c>
    </row>
    <row r="66" spans="1:12">
      <c r="A66" s="4" t="s">
        <v>145</v>
      </c>
      <c r="B66" s="3" t="s">
        <v>166</v>
      </c>
      <c r="C66" s="4" t="s">
        <v>41</v>
      </c>
      <c r="D66" s="4">
        <v>50</v>
      </c>
      <c r="E66" s="3" t="s">
        <v>180</v>
      </c>
      <c r="F66" s="3" t="s">
        <v>180</v>
      </c>
      <c r="G66" s="3" t="s">
        <v>43</v>
      </c>
      <c r="H66" s="4" t="s">
        <v>181</v>
      </c>
      <c r="I66" s="4" t="s">
        <v>181</v>
      </c>
      <c r="J66" s="4" t="s">
        <v>37</v>
      </c>
      <c r="K66" s="3" t="s">
        <v>182</v>
      </c>
      <c r="L66" s="3" t="s">
        <v>170</v>
      </c>
    </row>
    <row r="67" spans="1:12">
      <c r="A67" s="4" t="s">
        <v>145</v>
      </c>
      <c r="B67" s="3" t="s">
        <v>166</v>
      </c>
      <c r="C67" s="4" t="s">
        <v>41</v>
      </c>
      <c r="D67" s="4">
        <v>89</v>
      </c>
      <c r="E67" s="3" t="s">
        <v>38</v>
      </c>
      <c r="F67" s="3" t="s">
        <v>38</v>
      </c>
      <c r="G67" s="3" t="s">
        <v>43</v>
      </c>
      <c r="H67" s="4" t="s">
        <v>18</v>
      </c>
      <c r="I67" s="4" t="s">
        <v>183</v>
      </c>
      <c r="J67" s="4" t="s">
        <v>37</v>
      </c>
      <c r="K67" s="3" t="s">
        <v>184</v>
      </c>
      <c r="L67" s="3" t="s">
        <v>170</v>
      </c>
    </row>
    <row r="68" spans="1:12">
      <c r="A68" s="4" t="s">
        <v>145</v>
      </c>
      <c r="B68" s="3" t="s">
        <v>166</v>
      </c>
      <c r="C68" s="4" t="s">
        <v>41</v>
      </c>
      <c r="D68" s="4">
        <v>94</v>
      </c>
      <c r="E68" s="3" t="s">
        <v>161</v>
      </c>
      <c r="F68" s="3" t="s">
        <v>161</v>
      </c>
      <c r="G68" s="3" t="s">
        <v>43</v>
      </c>
      <c r="H68" s="4" t="s">
        <v>124</v>
      </c>
      <c r="I68" s="4" t="s">
        <v>124</v>
      </c>
      <c r="J68" s="4" t="s">
        <v>37</v>
      </c>
      <c r="K68" s="3" t="s">
        <v>185</v>
      </c>
      <c r="L68" s="3" t="s">
        <v>170</v>
      </c>
    </row>
    <row r="69" spans="1:12">
      <c r="A69" s="4" t="s">
        <v>98</v>
      </c>
      <c r="B69" s="3" t="s">
        <v>186</v>
      </c>
      <c r="C69" s="4" t="s">
        <v>20</v>
      </c>
      <c r="D69" s="4">
        <v>11</v>
      </c>
      <c r="E69" s="3" t="s">
        <v>138</v>
      </c>
      <c r="F69" s="3" t="s">
        <v>138</v>
      </c>
      <c r="G69" s="3" t="s">
        <v>187</v>
      </c>
      <c r="H69" s="4" t="s">
        <v>98</v>
      </c>
      <c r="I69" s="4" t="s">
        <v>188</v>
      </c>
      <c r="J69" s="4" t="s">
        <v>37</v>
      </c>
      <c r="K69" s="3" t="s">
        <v>189</v>
      </c>
      <c r="L69" s="3" t="s">
        <v>190</v>
      </c>
    </row>
    <row r="70" spans="1:12">
      <c r="A70" s="4" t="s">
        <v>98</v>
      </c>
      <c r="B70" s="3" t="s">
        <v>186</v>
      </c>
      <c r="C70" s="4" t="s">
        <v>20</v>
      </c>
      <c r="D70" s="4">
        <v>15</v>
      </c>
      <c r="E70" s="3" t="s">
        <v>178</v>
      </c>
      <c r="F70" s="3" t="s">
        <v>178</v>
      </c>
      <c r="G70" s="3" t="s">
        <v>191</v>
      </c>
      <c r="H70" s="4" t="s">
        <v>98</v>
      </c>
      <c r="I70" s="4" t="s">
        <v>145</v>
      </c>
      <c r="J70" s="4" t="s">
        <v>23</v>
      </c>
      <c r="K70" s="3" t="s">
        <v>189</v>
      </c>
      <c r="L70" s="3" t="s">
        <v>190</v>
      </c>
    </row>
    <row r="71" spans="1:12">
      <c r="A71" s="4" t="s">
        <v>98</v>
      </c>
      <c r="B71" s="3" t="s">
        <v>186</v>
      </c>
      <c r="C71" s="4" t="s">
        <v>20</v>
      </c>
      <c r="D71" s="4">
        <v>73</v>
      </c>
      <c r="E71" s="3" t="s">
        <v>97</v>
      </c>
      <c r="F71" s="3" t="s">
        <v>97</v>
      </c>
      <c r="G71" s="3" t="s">
        <v>192</v>
      </c>
      <c r="H71" s="4" t="s">
        <v>98</v>
      </c>
      <c r="I71" s="4" t="s">
        <v>68</v>
      </c>
      <c r="J71" s="4" t="s">
        <v>23</v>
      </c>
      <c r="K71" s="3" t="s">
        <v>189</v>
      </c>
      <c r="L71" s="3" t="s">
        <v>190</v>
      </c>
    </row>
    <row r="72" spans="1:12">
      <c r="A72" s="4" t="s">
        <v>98</v>
      </c>
      <c r="B72" s="3" t="s">
        <v>186</v>
      </c>
      <c r="C72" s="4" t="s">
        <v>20</v>
      </c>
      <c r="D72" s="4">
        <v>85</v>
      </c>
      <c r="E72" s="3" t="s">
        <v>193</v>
      </c>
      <c r="F72" s="3" t="s">
        <v>193</v>
      </c>
      <c r="G72" s="3" t="s">
        <v>194</v>
      </c>
      <c r="H72" s="4" t="s">
        <v>98</v>
      </c>
      <c r="I72" s="4"/>
      <c r="J72" s="4" t="s">
        <v>23</v>
      </c>
      <c r="K72" s="3" t="s">
        <v>189</v>
      </c>
      <c r="L72" s="3" t="s">
        <v>190</v>
      </c>
    </row>
    <row r="73" spans="1:12">
      <c r="A73" s="4" t="s">
        <v>98</v>
      </c>
      <c r="B73" s="3" t="s">
        <v>186</v>
      </c>
      <c r="C73" s="4" t="s">
        <v>41</v>
      </c>
      <c r="D73" s="4">
        <v>41</v>
      </c>
      <c r="E73" s="3" t="s">
        <v>86</v>
      </c>
      <c r="F73" s="3" t="s">
        <v>86</v>
      </c>
      <c r="G73" s="3" t="s">
        <v>43</v>
      </c>
      <c r="H73" s="4" t="s">
        <v>68</v>
      </c>
      <c r="I73" s="4" t="s">
        <v>195</v>
      </c>
      <c r="J73" s="4" t="s">
        <v>37</v>
      </c>
      <c r="K73" s="3" t="s">
        <v>196</v>
      </c>
      <c r="L73" s="3" t="s">
        <v>190</v>
      </c>
    </row>
    <row r="74" spans="1:12">
      <c r="A74" s="4" t="s">
        <v>98</v>
      </c>
      <c r="B74" s="3" t="s">
        <v>186</v>
      </c>
      <c r="C74" s="4" t="s">
        <v>41</v>
      </c>
      <c r="D74" s="4">
        <v>60</v>
      </c>
      <c r="E74" s="3" t="s">
        <v>174</v>
      </c>
      <c r="F74" s="3" t="s">
        <v>174</v>
      </c>
      <c r="G74" s="3" t="s">
        <v>43</v>
      </c>
      <c r="H74" s="4" t="s">
        <v>145</v>
      </c>
      <c r="I74" s="4" t="s">
        <v>145</v>
      </c>
      <c r="J74" s="4" t="s">
        <v>37</v>
      </c>
      <c r="K74" s="3" t="s">
        <v>197</v>
      </c>
      <c r="L74" s="3" t="s">
        <v>190</v>
      </c>
    </row>
    <row r="75" spans="1:12">
      <c r="A75" s="4" t="s">
        <v>198</v>
      </c>
      <c r="B75" s="3" t="s">
        <v>199</v>
      </c>
      <c r="C75" s="4" t="s">
        <v>20</v>
      </c>
      <c r="D75" s="4">
        <v>16</v>
      </c>
      <c r="E75" s="3" t="s">
        <v>200</v>
      </c>
      <c r="F75" s="3" t="s">
        <v>200</v>
      </c>
      <c r="G75" s="3" t="s">
        <v>201</v>
      </c>
      <c r="H75" s="4" t="s">
        <v>198</v>
      </c>
      <c r="I75" s="4"/>
      <c r="J75" s="4" t="s">
        <v>23</v>
      </c>
      <c r="K75" s="3" t="s">
        <v>202</v>
      </c>
      <c r="L75" s="3" t="s">
        <v>203</v>
      </c>
    </row>
    <row r="76" spans="1:12">
      <c r="A76" s="4" t="s">
        <v>198</v>
      </c>
      <c r="B76" s="3" t="s">
        <v>199</v>
      </c>
      <c r="C76" s="4" t="s">
        <v>20</v>
      </c>
      <c r="D76" s="4">
        <v>20</v>
      </c>
      <c r="E76" s="3" t="s">
        <v>204</v>
      </c>
      <c r="F76" s="3" t="s">
        <v>204</v>
      </c>
      <c r="G76" s="3" t="s">
        <v>205</v>
      </c>
      <c r="H76" s="4" t="s">
        <v>198</v>
      </c>
      <c r="I76" s="4"/>
      <c r="J76" s="4" t="s">
        <v>23</v>
      </c>
      <c r="K76" s="3" t="s">
        <v>202</v>
      </c>
      <c r="L76" s="3" t="s">
        <v>203</v>
      </c>
    </row>
    <row r="77" spans="1:12">
      <c r="A77" s="4" t="s">
        <v>198</v>
      </c>
      <c r="B77" s="3" t="s">
        <v>199</v>
      </c>
      <c r="C77" s="4" t="s">
        <v>20</v>
      </c>
      <c r="D77" s="4">
        <v>22</v>
      </c>
      <c r="E77" s="3" t="s">
        <v>206</v>
      </c>
      <c r="F77" s="3" t="s">
        <v>206</v>
      </c>
      <c r="G77" s="3" t="s">
        <v>207</v>
      </c>
      <c r="H77" s="4" t="s">
        <v>198</v>
      </c>
      <c r="I77" s="4" t="s">
        <v>208</v>
      </c>
      <c r="J77" s="4" t="s">
        <v>23</v>
      </c>
      <c r="K77" s="3" t="s">
        <v>202</v>
      </c>
      <c r="L77" s="3" t="s">
        <v>203</v>
      </c>
    </row>
    <row r="78" spans="1:12">
      <c r="A78" s="4" t="s">
        <v>198</v>
      </c>
      <c r="B78" s="3" t="s">
        <v>199</v>
      </c>
      <c r="C78" s="4" t="s">
        <v>20</v>
      </c>
      <c r="D78" s="4">
        <v>23</v>
      </c>
      <c r="E78" s="3" t="s">
        <v>209</v>
      </c>
      <c r="F78" s="3" t="s">
        <v>209</v>
      </c>
      <c r="G78" s="3" t="s">
        <v>210</v>
      </c>
      <c r="H78" s="4" t="s">
        <v>198</v>
      </c>
      <c r="I78" s="4"/>
      <c r="J78" s="4" t="s">
        <v>23</v>
      </c>
      <c r="K78" s="3" t="s">
        <v>202</v>
      </c>
      <c r="L78" s="3" t="s">
        <v>203</v>
      </c>
    </row>
    <row r="79" spans="1:12">
      <c r="A79" s="4" t="s">
        <v>198</v>
      </c>
      <c r="B79" s="3" t="s">
        <v>199</v>
      </c>
      <c r="C79" s="4" t="s">
        <v>20</v>
      </c>
      <c r="D79" s="4">
        <v>27</v>
      </c>
      <c r="E79" s="3" t="s">
        <v>211</v>
      </c>
      <c r="F79" s="3" t="s">
        <v>211</v>
      </c>
      <c r="G79" s="3" t="s">
        <v>212</v>
      </c>
      <c r="H79" s="4" t="s">
        <v>198</v>
      </c>
      <c r="I79" s="4"/>
      <c r="J79" s="4" t="s">
        <v>23</v>
      </c>
      <c r="K79" s="3" t="s">
        <v>202</v>
      </c>
      <c r="L79" s="3" t="s">
        <v>203</v>
      </c>
    </row>
    <row r="80" spans="1:12">
      <c r="A80" s="4" t="s">
        <v>198</v>
      </c>
      <c r="B80" s="3" t="s">
        <v>199</v>
      </c>
      <c r="C80" s="4" t="s">
        <v>20</v>
      </c>
      <c r="D80" s="4">
        <v>30</v>
      </c>
      <c r="E80" s="3" t="s">
        <v>213</v>
      </c>
      <c r="F80" s="3" t="s">
        <v>214</v>
      </c>
      <c r="G80" s="3" t="s">
        <v>215</v>
      </c>
      <c r="H80" s="4" t="s">
        <v>198</v>
      </c>
      <c r="I80" s="4"/>
      <c r="J80" s="4" t="s">
        <v>23</v>
      </c>
      <c r="K80" s="3" t="s">
        <v>202</v>
      </c>
      <c r="L80" s="3" t="s">
        <v>203</v>
      </c>
    </row>
    <row r="81" spans="1:12">
      <c r="A81" s="4" t="s">
        <v>198</v>
      </c>
      <c r="B81" s="3" t="s">
        <v>199</v>
      </c>
      <c r="C81" s="4" t="s">
        <v>20</v>
      </c>
      <c r="D81" s="4">
        <v>44</v>
      </c>
      <c r="E81" s="3" t="s">
        <v>216</v>
      </c>
      <c r="F81" s="3" t="s">
        <v>216</v>
      </c>
      <c r="G81" s="3" t="s">
        <v>217</v>
      </c>
      <c r="H81" s="4" t="s">
        <v>198</v>
      </c>
      <c r="I81" s="4" t="s">
        <v>218</v>
      </c>
      <c r="J81" s="4" t="s">
        <v>23</v>
      </c>
      <c r="K81" s="3" t="s">
        <v>202</v>
      </c>
      <c r="L81" s="3" t="s">
        <v>203</v>
      </c>
    </row>
    <row r="82" spans="1:12">
      <c r="A82" s="4" t="s">
        <v>198</v>
      </c>
      <c r="B82" s="3" t="s">
        <v>199</v>
      </c>
      <c r="C82" s="4" t="s">
        <v>41</v>
      </c>
      <c r="D82" s="4">
        <v>18</v>
      </c>
      <c r="E82" s="3" t="s">
        <v>219</v>
      </c>
      <c r="F82" s="3" t="s">
        <v>219</v>
      </c>
      <c r="G82" s="3" t="s">
        <v>43</v>
      </c>
      <c r="H82" s="4" t="s">
        <v>208</v>
      </c>
      <c r="I82" s="4" t="s">
        <v>208</v>
      </c>
      <c r="J82" s="4" t="s">
        <v>37</v>
      </c>
      <c r="K82" s="3" t="s">
        <v>220</v>
      </c>
      <c r="L82" s="3" t="s">
        <v>203</v>
      </c>
    </row>
    <row r="83" spans="1:12">
      <c r="A83" s="4" t="s">
        <v>198</v>
      </c>
      <c r="B83" s="3" t="s">
        <v>199</v>
      </c>
      <c r="C83" s="4" t="s">
        <v>41</v>
      </c>
      <c r="D83" s="4">
        <v>46</v>
      </c>
      <c r="E83" s="3" t="s">
        <v>63</v>
      </c>
      <c r="F83" s="3" t="s">
        <v>63</v>
      </c>
      <c r="G83" s="3" t="s">
        <v>43</v>
      </c>
      <c r="H83" s="4" t="s">
        <v>44</v>
      </c>
      <c r="I83" s="4" t="s">
        <v>96</v>
      </c>
      <c r="J83" s="4" t="s">
        <v>37</v>
      </c>
      <c r="K83" s="3" t="s">
        <v>221</v>
      </c>
      <c r="L83" s="3" t="s">
        <v>203</v>
      </c>
    </row>
    <row r="84" spans="1:12">
      <c r="A84" s="4" t="s">
        <v>198</v>
      </c>
      <c r="B84" s="3" t="s">
        <v>199</v>
      </c>
      <c r="C84" s="4" t="s">
        <v>41</v>
      </c>
      <c r="D84" s="4">
        <v>58</v>
      </c>
      <c r="E84" s="3" t="s">
        <v>222</v>
      </c>
      <c r="F84" s="3" t="s">
        <v>223</v>
      </c>
      <c r="G84" s="3" t="s">
        <v>43</v>
      </c>
      <c r="H84" s="4" t="s">
        <v>218</v>
      </c>
      <c r="I84" s="4" t="s">
        <v>218</v>
      </c>
      <c r="J84" s="4" t="s">
        <v>37</v>
      </c>
      <c r="K84" s="3" t="s">
        <v>224</v>
      </c>
      <c r="L84" s="3" t="s">
        <v>203</v>
      </c>
    </row>
    <row r="85" spans="1:12">
      <c r="A85" s="4" t="s">
        <v>208</v>
      </c>
      <c r="B85" s="3" t="s">
        <v>225</v>
      </c>
      <c r="C85" s="4" t="s">
        <v>20</v>
      </c>
      <c r="D85" s="4">
        <v>18</v>
      </c>
      <c r="E85" s="3" t="s">
        <v>219</v>
      </c>
      <c r="F85" s="3" t="s">
        <v>219</v>
      </c>
      <c r="G85" s="3" t="s">
        <v>226</v>
      </c>
      <c r="H85" s="4" t="s">
        <v>208</v>
      </c>
      <c r="I85" s="4" t="s">
        <v>198</v>
      </c>
      <c r="J85" s="4" t="s">
        <v>23</v>
      </c>
      <c r="K85" s="3" t="s">
        <v>227</v>
      </c>
      <c r="L85" s="3" t="s">
        <v>228</v>
      </c>
    </row>
    <row r="86" spans="1:12">
      <c r="A86" s="4" t="s">
        <v>208</v>
      </c>
      <c r="B86" s="3" t="s">
        <v>225</v>
      </c>
      <c r="C86" s="4" t="s">
        <v>20</v>
      </c>
      <c r="D86" s="4">
        <v>32</v>
      </c>
      <c r="E86" s="3" t="s">
        <v>229</v>
      </c>
      <c r="F86" s="3" t="s">
        <v>229</v>
      </c>
      <c r="G86" s="3" t="s">
        <v>230</v>
      </c>
      <c r="H86" s="4" t="s">
        <v>208</v>
      </c>
      <c r="I86" s="4" t="s">
        <v>231</v>
      </c>
      <c r="J86" s="4" t="s">
        <v>37</v>
      </c>
      <c r="K86" s="3" t="s">
        <v>227</v>
      </c>
      <c r="L86" s="3" t="s">
        <v>228</v>
      </c>
    </row>
    <row r="87" spans="1:12">
      <c r="A87" s="4" t="s">
        <v>208</v>
      </c>
      <c r="B87" s="3" t="s">
        <v>225</v>
      </c>
      <c r="C87" s="4" t="s">
        <v>20</v>
      </c>
      <c r="D87" s="4">
        <v>34</v>
      </c>
      <c r="E87" s="3" t="s">
        <v>232</v>
      </c>
      <c r="F87" s="3" t="s">
        <v>232</v>
      </c>
      <c r="G87" s="3" t="s">
        <v>233</v>
      </c>
      <c r="H87" s="4" t="s">
        <v>208</v>
      </c>
      <c r="I87" s="4" t="s">
        <v>234</v>
      </c>
      <c r="J87" s="4" t="s">
        <v>23</v>
      </c>
      <c r="K87" s="3" t="s">
        <v>227</v>
      </c>
      <c r="L87" s="3" t="s">
        <v>228</v>
      </c>
    </row>
    <row r="88" spans="1:12">
      <c r="A88" s="4" t="s">
        <v>208</v>
      </c>
      <c r="B88" s="3" t="s">
        <v>225</v>
      </c>
      <c r="C88" s="4" t="s">
        <v>20</v>
      </c>
      <c r="D88" s="4">
        <v>39</v>
      </c>
      <c r="E88" s="3" t="s">
        <v>235</v>
      </c>
      <c r="F88" s="3" t="s">
        <v>235</v>
      </c>
      <c r="G88" s="3" t="s">
        <v>236</v>
      </c>
      <c r="H88" s="4" t="s">
        <v>208</v>
      </c>
      <c r="I88" s="4"/>
      <c r="J88" s="4" t="s">
        <v>23</v>
      </c>
      <c r="K88" s="3" t="s">
        <v>227</v>
      </c>
      <c r="L88" s="3" t="s">
        <v>228</v>
      </c>
    </row>
    <row r="89" spans="1:12">
      <c r="A89" s="4" t="s">
        <v>208</v>
      </c>
      <c r="B89" s="3" t="s">
        <v>225</v>
      </c>
      <c r="C89" s="4" t="s">
        <v>20</v>
      </c>
      <c r="D89" s="4">
        <v>88</v>
      </c>
      <c r="E89" s="3" t="s">
        <v>237</v>
      </c>
      <c r="F89" s="3" t="s">
        <v>237</v>
      </c>
      <c r="G89" s="3" t="s">
        <v>238</v>
      </c>
      <c r="H89" s="4" t="s">
        <v>208</v>
      </c>
      <c r="I89" s="4"/>
      <c r="J89" s="4" t="s">
        <v>23</v>
      </c>
      <c r="K89" s="3" t="s">
        <v>227</v>
      </c>
      <c r="L89" s="3" t="s">
        <v>228</v>
      </c>
    </row>
    <row r="90" spans="1:12">
      <c r="A90" s="4" t="s">
        <v>208</v>
      </c>
      <c r="B90" s="3" t="s">
        <v>225</v>
      </c>
      <c r="C90" s="4" t="s">
        <v>41</v>
      </c>
      <c r="D90" s="4">
        <v>22</v>
      </c>
      <c r="E90" s="3" t="s">
        <v>206</v>
      </c>
      <c r="F90" s="3" t="s">
        <v>206</v>
      </c>
      <c r="G90" s="3" t="s">
        <v>43</v>
      </c>
      <c r="H90" s="4" t="s">
        <v>198</v>
      </c>
      <c r="I90" s="4" t="s">
        <v>198</v>
      </c>
      <c r="J90" s="4" t="s">
        <v>37</v>
      </c>
      <c r="K90" s="3" t="s">
        <v>239</v>
      </c>
      <c r="L90" s="3" t="s">
        <v>228</v>
      </c>
    </row>
    <row r="91" spans="1:12">
      <c r="A91" s="4" t="s">
        <v>208</v>
      </c>
      <c r="B91" s="3" t="s">
        <v>225</v>
      </c>
      <c r="C91" s="4" t="s">
        <v>41</v>
      </c>
      <c r="D91" s="4">
        <v>28</v>
      </c>
      <c r="E91" s="3" t="s">
        <v>240</v>
      </c>
      <c r="F91" s="3" t="s">
        <v>240</v>
      </c>
      <c r="G91" s="3" t="s">
        <v>43</v>
      </c>
      <c r="H91" s="4" t="s">
        <v>48</v>
      </c>
      <c r="I91" s="4" t="s">
        <v>48</v>
      </c>
      <c r="J91" s="4" t="s">
        <v>37</v>
      </c>
      <c r="K91" s="3" t="s">
        <v>241</v>
      </c>
      <c r="L91" s="3" t="s">
        <v>228</v>
      </c>
    </row>
    <row r="92" spans="1:12">
      <c r="A92" s="4" t="s">
        <v>208</v>
      </c>
      <c r="B92" s="3" t="s">
        <v>225</v>
      </c>
      <c r="C92" s="4" t="s">
        <v>41</v>
      </c>
      <c r="D92" s="4">
        <v>52</v>
      </c>
      <c r="E92" s="3" t="s">
        <v>242</v>
      </c>
      <c r="F92" s="3" t="s">
        <v>242</v>
      </c>
      <c r="G92" s="3" t="s">
        <v>43</v>
      </c>
      <c r="H92" s="4" t="s">
        <v>234</v>
      </c>
      <c r="I92" s="4" t="s">
        <v>234</v>
      </c>
      <c r="J92" s="4" t="s">
        <v>37</v>
      </c>
      <c r="K92" s="3" t="s">
        <v>243</v>
      </c>
      <c r="L92" s="3" t="s">
        <v>228</v>
      </c>
    </row>
    <row r="93" spans="1:12">
      <c r="A93" s="4" t="s">
        <v>208</v>
      </c>
      <c r="B93" s="3" t="s">
        <v>225</v>
      </c>
      <c r="C93" s="4" t="s">
        <v>41</v>
      </c>
      <c r="D93" s="4">
        <v>55</v>
      </c>
      <c r="E93" s="3" t="s">
        <v>244</v>
      </c>
      <c r="F93" s="3" t="s">
        <v>244</v>
      </c>
      <c r="G93" s="3" t="s">
        <v>43</v>
      </c>
      <c r="H93" s="4" t="s">
        <v>245</v>
      </c>
      <c r="I93" s="4" t="s">
        <v>245</v>
      </c>
      <c r="J93" s="4" t="s">
        <v>37</v>
      </c>
      <c r="K93" s="3" t="s">
        <v>246</v>
      </c>
      <c r="L93" s="3" t="s">
        <v>228</v>
      </c>
    </row>
    <row r="94" spans="1:12">
      <c r="A94" s="4" t="s">
        <v>208</v>
      </c>
      <c r="B94" s="3" t="s">
        <v>225</v>
      </c>
      <c r="C94" s="4" t="s">
        <v>41</v>
      </c>
      <c r="D94" s="4">
        <v>84</v>
      </c>
      <c r="E94" s="3" t="s">
        <v>247</v>
      </c>
      <c r="F94" s="3" t="s">
        <v>247</v>
      </c>
      <c r="G94" s="3" t="s">
        <v>43</v>
      </c>
      <c r="H94" s="4" t="s">
        <v>245</v>
      </c>
      <c r="I94" s="4" t="s">
        <v>245</v>
      </c>
      <c r="J94" s="4" t="s">
        <v>37</v>
      </c>
      <c r="K94" s="3" t="s">
        <v>246</v>
      </c>
      <c r="L94" s="3" t="s">
        <v>228</v>
      </c>
    </row>
    <row r="95" spans="1:12">
      <c r="A95" s="4" t="s">
        <v>77</v>
      </c>
      <c r="B95" s="3" t="s">
        <v>248</v>
      </c>
      <c r="C95" s="4" t="s">
        <v>20</v>
      </c>
      <c r="D95" s="4">
        <v>6</v>
      </c>
      <c r="E95" s="3" t="s">
        <v>115</v>
      </c>
      <c r="F95" s="3" t="s">
        <v>115</v>
      </c>
      <c r="G95" s="3" t="s">
        <v>249</v>
      </c>
      <c r="H95" s="4" t="s">
        <v>77</v>
      </c>
      <c r="I95" s="4" t="s">
        <v>94</v>
      </c>
      <c r="J95" s="4" t="s">
        <v>23</v>
      </c>
      <c r="K95" s="3" t="s">
        <v>250</v>
      </c>
      <c r="L95" s="3" t="s">
        <v>251</v>
      </c>
    </row>
    <row r="96" spans="1:12">
      <c r="A96" s="4" t="s">
        <v>77</v>
      </c>
      <c r="B96" s="3" t="s">
        <v>248</v>
      </c>
      <c r="C96" s="4" t="s">
        <v>20</v>
      </c>
      <c r="D96" s="4">
        <v>29</v>
      </c>
      <c r="E96" s="3" t="s">
        <v>252</v>
      </c>
      <c r="F96" s="3" t="s">
        <v>252</v>
      </c>
      <c r="G96" s="3" t="s">
        <v>253</v>
      </c>
      <c r="H96" s="4" t="s">
        <v>77</v>
      </c>
      <c r="I96" s="4"/>
      <c r="J96" s="4" t="s">
        <v>23</v>
      </c>
      <c r="K96" s="3" t="s">
        <v>250</v>
      </c>
      <c r="L96" s="3" t="s">
        <v>251</v>
      </c>
    </row>
    <row r="97" spans="1:12">
      <c r="A97" s="4" t="s">
        <v>77</v>
      </c>
      <c r="B97" s="3" t="s">
        <v>248</v>
      </c>
      <c r="C97" s="4" t="s">
        <v>20</v>
      </c>
      <c r="D97" s="4">
        <v>45</v>
      </c>
      <c r="E97" s="3" t="s">
        <v>254</v>
      </c>
      <c r="F97" s="3" t="s">
        <v>254</v>
      </c>
      <c r="G97" s="3" t="s">
        <v>255</v>
      </c>
      <c r="H97" s="4" t="s">
        <v>77</v>
      </c>
      <c r="I97" s="4" t="s">
        <v>256</v>
      </c>
      <c r="J97" s="4" t="s">
        <v>23</v>
      </c>
      <c r="K97" s="3" t="s">
        <v>250</v>
      </c>
      <c r="L97" s="3" t="s">
        <v>251</v>
      </c>
    </row>
    <row r="98" spans="1:12">
      <c r="A98" s="4" t="s">
        <v>77</v>
      </c>
      <c r="B98" s="3" t="s">
        <v>248</v>
      </c>
      <c r="C98" s="4" t="s">
        <v>20</v>
      </c>
      <c r="D98" s="4">
        <v>68</v>
      </c>
      <c r="E98" s="3" t="s">
        <v>76</v>
      </c>
      <c r="F98" s="3" t="s">
        <v>76</v>
      </c>
      <c r="G98" s="3" t="s">
        <v>257</v>
      </c>
      <c r="H98" s="4" t="s">
        <v>77</v>
      </c>
      <c r="I98" s="4" t="s">
        <v>44</v>
      </c>
      <c r="J98" s="4" t="s">
        <v>23</v>
      </c>
      <c r="K98" s="3" t="s">
        <v>250</v>
      </c>
      <c r="L98" s="3" t="s">
        <v>251</v>
      </c>
    </row>
    <row r="99" spans="1:12">
      <c r="A99" s="4" t="s">
        <v>77</v>
      </c>
      <c r="B99" s="3" t="s">
        <v>248</v>
      </c>
      <c r="C99" s="4" t="s">
        <v>20</v>
      </c>
      <c r="D99" s="4">
        <v>71</v>
      </c>
      <c r="E99" s="3" t="s">
        <v>258</v>
      </c>
      <c r="F99" s="3" t="s">
        <v>258</v>
      </c>
      <c r="G99" s="3" t="s">
        <v>259</v>
      </c>
      <c r="H99" s="4" t="s">
        <v>77</v>
      </c>
      <c r="I99" s="4" t="s">
        <v>231</v>
      </c>
      <c r="J99" s="4" t="s">
        <v>23</v>
      </c>
      <c r="K99" s="3" t="s">
        <v>250</v>
      </c>
      <c r="L99" s="3" t="s">
        <v>251</v>
      </c>
    </row>
    <row r="100" spans="1:12">
      <c r="A100" s="4" t="s">
        <v>77</v>
      </c>
      <c r="B100" s="3" t="s">
        <v>248</v>
      </c>
      <c r="C100" s="4" t="s">
        <v>41</v>
      </c>
      <c r="D100" s="4">
        <v>46</v>
      </c>
      <c r="E100" s="3" t="s">
        <v>63</v>
      </c>
      <c r="F100" s="3" t="s">
        <v>63</v>
      </c>
      <c r="G100" s="3" t="s">
        <v>43</v>
      </c>
      <c r="H100" s="4" t="s">
        <v>44</v>
      </c>
      <c r="I100" s="4" t="s">
        <v>260</v>
      </c>
      <c r="J100" s="4" t="s">
        <v>37</v>
      </c>
      <c r="K100" s="3" t="s">
        <v>261</v>
      </c>
      <c r="L100" s="3" t="s">
        <v>251</v>
      </c>
    </row>
    <row r="101" spans="1:12">
      <c r="A101" s="4" t="s">
        <v>77</v>
      </c>
      <c r="B101" s="3" t="s">
        <v>248</v>
      </c>
      <c r="C101" s="4" t="s">
        <v>41</v>
      </c>
      <c r="D101" s="4">
        <v>61</v>
      </c>
      <c r="E101" s="3" t="s">
        <v>262</v>
      </c>
      <c r="F101" s="3" t="s">
        <v>263</v>
      </c>
      <c r="G101" s="3" t="s">
        <v>43</v>
      </c>
      <c r="H101" s="4" t="s">
        <v>231</v>
      </c>
      <c r="I101" s="4" t="s">
        <v>264</v>
      </c>
      <c r="J101" s="4" t="s">
        <v>126</v>
      </c>
      <c r="K101" s="3" t="s">
        <v>265</v>
      </c>
      <c r="L101" s="3" t="s">
        <v>251</v>
      </c>
    </row>
    <row r="102" spans="1:12">
      <c r="A102" s="4" t="s">
        <v>77</v>
      </c>
      <c r="B102" s="3" t="s">
        <v>248</v>
      </c>
      <c r="C102" s="4" t="s">
        <v>41</v>
      </c>
      <c r="D102" s="4">
        <v>69</v>
      </c>
      <c r="E102" s="3" t="s">
        <v>69</v>
      </c>
      <c r="F102" s="3" t="s">
        <v>69</v>
      </c>
      <c r="G102" s="3" t="s">
        <v>43</v>
      </c>
      <c r="H102" s="4" t="s">
        <v>44</v>
      </c>
      <c r="I102" s="4" t="s">
        <v>45</v>
      </c>
      <c r="J102" s="4" t="s">
        <v>37</v>
      </c>
      <c r="K102" s="3" t="s">
        <v>261</v>
      </c>
      <c r="L102" s="3" t="s">
        <v>251</v>
      </c>
    </row>
    <row r="103" spans="1:12">
      <c r="A103" s="4" t="s">
        <v>77</v>
      </c>
      <c r="B103" s="3" t="s">
        <v>248</v>
      </c>
      <c r="C103" s="4" t="s">
        <v>41</v>
      </c>
      <c r="D103" s="4">
        <v>72</v>
      </c>
      <c r="E103" s="3" t="s">
        <v>266</v>
      </c>
      <c r="F103" s="3" t="s">
        <v>266</v>
      </c>
      <c r="G103" s="3" t="s">
        <v>43</v>
      </c>
      <c r="H103" s="4" t="s">
        <v>256</v>
      </c>
      <c r="I103" s="4" t="s">
        <v>267</v>
      </c>
      <c r="J103" s="4" t="s">
        <v>37</v>
      </c>
      <c r="K103" s="3" t="s">
        <v>268</v>
      </c>
      <c r="L103" s="3" t="s">
        <v>251</v>
      </c>
    </row>
    <row r="104" spans="1:12">
      <c r="A104" s="4" t="s">
        <v>77</v>
      </c>
      <c r="B104" s="3" t="s">
        <v>248</v>
      </c>
      <c r="C104" s="4" t="s">
        <v>41</v>
      </c>
      <c r="D104" s="4">
        <v>92</v>
      </c>
      <c r="E104" s="3" t="s">
        <v>50</v>
      </c>
      <c r="F104" s="3" t="s">
        <v>50</v>
      </c>
      <c r="G104" s="3" t="s">
        <v>43</v>
      </c>
      <c r="H104" s="4" t="s">
        <v>51</v>
      </c>
      <c r="I104" s="4" t="s">
        <v>269</v>
      </c>
      <c r="J104" s="4" t="s">
        <v>37</v>
      </c>
      <c r="K104" s="3" t="s">
        <v>270</v>
      </c>
      <c r="L104" s="3" t="s">
        <v>251</v>
      </c>
    </row>
    <row r="105" spans="1:12">
      <c r="A105" s="4" t="s">
        <v>256</v>
      </c>
      <c r="B105" s="3" t="s">
        <v>271</v>
      </c>
      <c r="C105" s="4" t="s">
        <v>20</v>
      </c>
      <c r="D105" s="4">
        <v>25</v>
      </c>
      <c r="E105" s="3" t="s">
        <v>272</v>
      </c>
      <c r="F105" s="3" t="s">
        <v>272</v>
      </c>
      <c r="G105" s="3" t="s">
        <v>273</v>
      </c>
      <c r="H105" s="4" t="s">
        <v>256</v>
      </c>
      <c r="I105" s="4"/>
      <c r="J105" s="4" t="s">
        <v>23</v>
      </c>
      <c r="K105" s="3" t="s">
        <v>274</v>
      </c>
      <c r="L105" s="3" t="s">
        <v>275</v>
      </c>
    </row>
    <row r="106" spans="1:12">
      <c r="A106" s="4" t="s">
        <v>256</v>
      </c>
      <c r="B106" s="3" t="s">
        <v>271</v>
      </c>
      <c r="C106" s="4" t="s">
        <v>20</v>
      </c>
      <c r="D106" s="4">
        <v>54</v>
      </c>
      <c r="E106" s="3" t="s">
        <v>276</v>
      </c>
      <c r="F106" s="3" t="s">
        <v>276</v>
      </c>
      <c r="G106" s="3" t="s">
        <v>277</v>
      </c>
      <c r="H106" s="4" t="s">
        <v>256</v>
      </c>
      <c r="I106" s="4" t="s">
        <v>278</v>
      </c>
      <c r="J106" s="4" t="s">
        <v>23</v>
      </c>
      <c r="K106" s="3" t="s">
        <v>274</v>
      </c>
      <c r="L106" s="3" t="s">
        <v>275</v>
      </c>
    </row>
    <row r="107" spans="1:12">
      <c r="A107" s="4" t="s">
        <v>256</v>
      </c>
      <c r="B107" s="3" t="s">
        <v>271</v>
      </c>
      <c r="C107" s="4" t="s">
        <v>20</v>
      </c>
      <c r="D107" s="4">
        <v>72</v>
      </c>
      <c r="E107" s="3" t="s">
        <v>266</v>
      </c>
      <c r="F107" s="3" t="s">
        <v>266</v>
      </c>
      <c r="G107" s="3" t="s">
        <v>279</v>
      </c>
      <c r="H107" s="4" t="s">
        <v>256</v>
      </c>
      <c r="I107" s="4" t="s">
        <v>280</v>
      </c>
      <c r="J107" s="4" t="s">
        <v>37</v>
      </c>
      <c r="K107" s="3" t="s">
        <v>274</v>
      </c>
      <c r="L107" s="3" t="s">
        <v>275</v>
      </c>
    </row>
    <row r="108" spans="1:12">
      <c r="A108" s="4" t="s">
        <v>256</v>
      </c>
      <c r="B108" s="3" t="s">
        <v>271</v>
      </c>
      <c r="C108" s="4" t="s">
        <v>41</v>
      </c>
      <c r="D108" s="4">
        <v>45</v>
      </c>
      <c r="E108" s="3" t="s">
        <v>254</v>
      </c>
      <c r="F108" s="3" t="s">
        <v>254</v>
      </c>
      <c r="G108" s="3" t="s">
        <v>43</v>
      </c>
      <c r="H108" s="4" t="s">
        <v>77</v>
      </c>
      <c r="I108" s="4" t="s">
        <v>77</v>
      </c>
      <c r="J108" s="4" t="s">
        <v>37</v>
      </c>
      <c r="K108" s="3" t="s">
        <v>281</v>
      </c>
      <c r="L108" s="3" t="s">
        <v>275</v>
      </c>
    </row>
    <row r="109" spans="1:12">
      <c r="A109" s="4" t="s">
        <v>278</v>
      </c>
      <c r="B109" s="3" t="s">
        <v>282</v>
      </c>
      <c r="C109" s="4" t="s">
        <v>20</v>
      </c>
      <c r="D109" s="4">
        <v>24</v>
      </c>
      <c r="E109" s="3" t="s">
        <v>283</v>
      </c>
      <c r="F109" s="3" t="s">
        <v>283</v>
      </c>
      <c r="G109" s="3" t="s">
        <v>284</v>
      </c>
      <c r="H109" s="4" t="s">
        <v>278</v>
      </c>
      <c r="I109" s="4" t="s">
        <v>218</v>
      </c>
      <c r="J109" s="4" t="s">
        <v>23</v>
      </c>
      <c r="K109" s="3" t="s">
        <v>285</v>
      </c>
      <c r="L109" s="3" t="s">
        <v>286</v>
      </c>
    </row>
    <row r="110" spans="1:12">
      <c r="A110" s="4" t="s">
        <v>278</v>
      </c>
      <c r="B110" s="3" t="s">
        <v>282</v>
      </c>
      <c r="C110" s="4" t="s">
        <v>20</v>
      </c>
      <c r="D110" s="4">
        <v>36</v>
      </c>
      <c r="E110" s="3" t="s">
        <v>287</v>
      </c>
      <c r="F110" s="3" t="s">
        <v>288</v>
      </c>
      <c r="G110" s="3" t="s">
        <v>289</v>
      </c>
      <c r="H110" s="4" t="s">
        <v>278</v>
      </c>
      <c r="I110" s="4" t="s">
        <v>290</v>
      </c>
      <c r="J110" s="4" t="s">
        <v>23</v>
      </c>
      <c r="K110" s="3" t="s">
        <v>285</v>
      </c>
      <c r="L110" s="3" t="s">
        <v>286</v>
      </c>
    </row>
    <row r="111" spans="1:12">
      <c r="A111" s="4" t="s">
        <v>278</v>
      </c>
      <c r="B111" s="3" t="s">
        <v>282</v>
      </c>
      <c r="C111" s="4" t="s">
        <v>20</v>
      </c>
      <c r="D111" s="4">
        <v>40</v>
      </c>
      <c r="E111" s="3" t="s">
        <v>291</v>
      </c>
      <c r="F111" s="3" t="s">
        <v>291</v>
      </c>
      <c r="G111" s="3" t="s">
        <v>292</v>
      </c>
      <c r="H111" s="4" t="s">
        <v>278</v>
      </c>
      <c r="I111" s="4"/>
      <c r="J111" s="4" t="s">
        <v>23</v>
      </c>
      <c r="K111" s="3" t="s">
        <v>285</v>
      </c>
      <c r="L111" s="3" t="s">
        <v>286</v>
      </c>
    </row>
    <row r="112" spans="1:12">
      <c r="A112" s="4" t="s">
        <v>278</v>
      </c>
      <c r="B112" s="3" t="s">
        <v>282</v>
      </c>
      <c r="C112" s="4" t="s">
        <v>20</v>
      </c>
      <c r="D112" s="4">
        <v>53</v>
      </c>
      <c r="E112" s="3" t="s">
        <v>293</v>
      </c>
      <c r="F112" s="3" t="s">
        <v>294</v>
      </c>
      <c r="G112" s="3" t="s">
        <v>295</v>
      </c>
      <c r="H112" s="4" t="s">
        <v>278</v>
      </c>
      <c r="I112" s="4" t="s">
        <v>290</v>
      </c>
      <c r="J112" s="4" t="s">
        <v>37</v>
      </c>
      <c r="K112" s="3" t="s">
        <v>285</v>
      </c>
      <c r="L112" s="3" t="s">
        <v>286</v>
      </c>
    </row>
    <row r="113" spans="1:12">
      <c r="A113" s="4" t="s">
        <v>278</v>
      </c>
      <c r="B113" s="3" t="s">
        <v>282</v>
      </c>
      <c r="C113" s="4" t="s">
        <v>20</v>
      </c>
      <c r="D113" s="4">
        <v>56</v>
      </c>
      <c r="E113" s="3" t="s">
        <v>296</v>
      </c>
      <c r="F113" s="3" t="s">
        <v>296</v>
      </c>
      <c r="G113" s="3" t="s">
        <v>297</v>
      </c>
      <c r="H113" s="4" t="s">
        <v>278</v>
      </c>
      <c r="I113" s="4"/>
      <c r="J113" s="4" t="s">
        <v>23</v>
      </c>
      <c r="K113" s="3" t="s">
        <v>285</v>
      </c>
      <c r="L113" s="3" t="s">
        <v>286</v>
      </c>
    </row>
    <row r="114" spans="1:12">
      <c r="A114" s="4" t="s">
        <v>278</v>
      </c>
      <c r="B114" s="3" t="s">
        <v>282</v>
      </c>
      <c r="C114" s="4" t="s">
        <v>20</v>
      </c>
      <c r="D114" s="4">
        <v>77</v>
      </c>
      <c r="E114" s="3" t="s">
        <v>298</v>
      </c>
      <c r="F114" s="3" t="s">
        <v>298</v>
      </c>
      <c r="G114" s="3" t="s">
        <v>299</v>
      </c>
      <c r="H114" s="4" t="s">
        <v>278</v>
      </c>
      <c r="I114" s="4"/>
      <c r="J114" s="4" t="s">
        <v>23</v>
      </c>
      <c r="K114" s="3" t="s">
        <v>285</v>
      </c>
      <c r="L114" s="3" t="s">
        <v>286</v>
      </c>
    </row>
    <row r="115" spans="1:12">
      <c r="A115" s="4" t="s">
        <v>278</v>
      </c>
      <c r="B115" s="3" t="s">
        <v>282</v>
      </c>
      <c r="C115" s="4" t="s">
        <v>41</v>
      </c>
      <c r="D115" s="4">
        <v>54</v>
      </c>
      <c r="E115" s="3" t="s">
        <v>276</v>
      </c>
      <c r="F115" s="3" t="s">
        <v>276</v>
      </c>
      <c r="G115" s="3" t="s">
        <v>43</v>
      </c>
      <c r="H115" s="4" t="s">
        <v>256</v>
      </c>
      <c r="I115" s="4" t="s">
        <v>256</v>
      </c>
      <c r="J115" s="4" t="s">
        <v>37</v>
      </c>
      <c r="K115" s="3" t="s">
        <v>300</v>
      </c>
      <c r="L115" s="3" t="s">
        <v>286</v>
      </c>
    </row>
    <row r="116" spans="1:12">
      <c r="A116" s="4" t="s">
        <v>278</v>
      </c>
      <c r="B116" s="3" t="s">
        <v>282</v>
      </c>
      <c r="C116" s="4" t="s">
        <v>41</v>
      </c>
      <c r="D116" s="4">
        <v>57</v>
      </c>
      <c r="E116" s="3" t="s">
        <v>301</v>
      </c>
      <c r="F116" s="3" t="s">
        <v>301</v>
      </c>
      <c r="G116" s="3" t="s">
        <v>43</v>
      </c>
      <c r="H116" s="4" t="s">
        <v>302</v>
      </c>
      <c r="I116" s="4" t="s">
        <v>303</v>
      </c>
      <c r="J116" s="4" t="s">
        <v>37</v>
      </c>
      <c r="K116" s="3" t="s">
        <v>304</v>
      </c>
      <c r="L116" s="3" t="s">
        <v>286</v>
      </c>
    </row>
    <row r="117" spans="1:12">
      <c r="A117" s="4" t="s">
        <v>181</v>
      </c>
      <c r="B117" s="3" t="s">
        <v>305</v>
      </c>
      <c r="C117" s="4" t="s">
        <v>20</v>
      </c>
      <c r="D117" s="4">
        <v>37</v>
      </c>
      <c r="E117" s="3" t="s">
        <v>306</v>
      </c>
      <c r="F117" s="3" t="s">
        <v>306</v>
      </c>
      <c r="G117" s="3" t="s">
        <v>307</v>
      </c>
      <c r="H117" s="4" t="s">
        <v>181</v>
      </c>
      <c r="I117" s="4"/>
      <c r="J117" s="4" t="s">
        <v>23</v>
      </c>
      <c r="K117" s="3" t="s">
        <v>308</v>
      </c>
      <c r="L117" s="3" t="s">
        <v>309</v>
      </c>
    </row>
    <row r="118" spans="1:12">
      <c r="A118" s="4" t="s">
        <v>181</v>
      </c>
      <c r="B118" s="3" t="s">
        <v>305</v>
      </c>
      <c r="C118" s="4" t="s">
        <v>20</v>
      </c>
      <c r="D118" s="4">
        <v>50</v>
      </c>
      <c r="E118" s="3" t="s">
        <v>180</v>
      </c>
      <c r="F118" s="3" t="s">
        <v>180</v>
      </c>
      <c r="G118" s="3" t="s">
        <v>310</v>
      </c>
      <c r="H118" s="4" t="s">
        <v>181</v>
      </c>
      <c r="I118" s="4" t="s">
        <v>145</v>
      </c>
      <c r="J118" s="4" t="s">
        <v>23</v>
      </c>
      <c r="K118" s="3" t="s">
        <v>308</v>
      </c>
      <c r="L118" s="3" t="s">
        <v>309</v>
      </c>
    </row>
    <row r="119" spans="1:12">
      <c r="A119" s="4" t="s">
        <v>181</v>
      </c>
      <c r="B119" s="3" t="s">
        <v>305</v>
      </c>
      <c r="C119" s="4" t="s">
        <v>41</v>
      </c>
      <c r="D119" s="4">
        <v>11</v>
      </c>
      <c r="E119" s="3" t="s">
        <v>138</v>
      </c>
      <c r="F119" s="3" t="s">
        <v>138</v>
      </c>
      <c r="G119" s="3" t="s">
        <v>43</v>
      </c>
      <c r="H119" s="4" t="s">
        <v>98</v>
      </c>
      <c r="I119" s="4" t="s">
        <v>311</v>
      </c>
      <c r="J119" s="4" t="s">
        <v>37</v>
      </c>
      <c r="K119" s="3" t="s">
        <v>312</v>
      </c>
      <c r="L119" s="3" t="s">
        <v>309</v>
      </c>
    </row>
    <row r="120" spans="1:12">
      <c r="A120" s="4" t="s">
        <v>290</v>
      </c>
      <c r="B120" s="3" t="s">
        <v>313</v>
      </c>
      <c r="C120" s="4" t="s">
        <v>20</v>
      </c>
      <c r="D120" s="4">
        <v>19</v>
      </c>
      <c r="E120" s="3" t="s">
        <v>314</v>
      </c>
      <c r="F120" s="3" t="s">
        <v>314</v>
      </c>
      <c r="G120" s="3" t="s">
        <v>315</v>
      </c>
      <c r="H120" s="4" t="s">
        <v>290</v>
      </c>
      <c r="I120" s="4"/>
      <c r="J120" s="4" t="s">
        <v>23</v>
      </c>
      <c r="K120" s="3" t="s">
        <v>316</v>
      </c>
      <c r="L120" s="3" t="s">
        <v>317</v>
      </c>
    </row>
    <row r="121" spans="1:12">
      <c r="A121" s="4" t="s">
        <v>290</v>
      </c>
      <c r="B121" s="3" t="s">
        <v>313</v>
      </c>
      <c r="C121" s="4" t="s">
        <v>20</v>
      </c>
      <c r="D121" s="4">
        <v>87</v>
      </c>
      <c r="E121" s="3" t="s">
        <v>318</v>
      </c>
      <c r="F121" s="3" t="s">
        <v>318</v>
      </c>
      <c r="G121" s="3" t="s">
        <v>319</v>
      </c>
      <c r="H121" s="4" t="s">
        <v>290</v>
      </c>
      <c r="I121" s="4"/>
      <c r="J121" s="4" t="s">
        <v>23</v>
      </c>
      <c r="K121" s="3" t="s">
        <v>316</v>
      </c>
      <c r="L121" s="3" t="s">
        <v>317</v>
      </c>
    </row>
    <row r="122" spans="1:12">
      <c r="A122" s="4" t="s">
        <v>290</v>
      </c>
      <c r="B122" s="3" t="s">
        <v>313</v>
      </c>
      <c r="C122" s="4" t="s">
        <v>41</v>
      </c>
      <c r="D122" s="4">
        <v>36</v>
      </c>
      <c r="E122" s="3" t="s">
        <v>287</v>
      </c>
      <c r="F122" s="3" t="s">
        <v>288</v>
      </c>
      <c r="G122" s="3" t="s">
        <v>43</v>
      </c>
      <c r="H122" s="4" t="s">
        <v>278</v>
      </c>
      <c r="I122" s="4" t="s">
        <v>278</v>
      </c>
      <c r="J122" s="4" t="s">
        <v>37</v>
      </c>
      <c r="K122" s="3" t="s">
        <v>320</v>
      </c>
      <c r="L122" s="3" t="s">
        <v>317</v>
      </c>
    </row>
    <row r="123" spans="1:12">
      <c r="A123" s="4" t="s">
        <v>290</v>
      </c>
      <c r="B123" s="3" t="s">
        <v>313</v>
      </c>
      <c r="C123" s="4" t="s">
        <v>41</v>
      </c>
      <c r="D123" s="4">
        <v>53</v>
      </c>
      <c r="E123" s="3" t="s">
        <v>293</v>
      </c>
      <c r="F123" s="3" t="s">
        <v>294</v>
      </c>
      <c r="G123" s="3" t="s">
        <v>43</v>
      </c>
      <c r="H123" s="4" t="s">
        <v>278</v>
      </c>
      <c r="I123" s="4" t="s">
        <v>278</v>
      </c>
      <c r="J123" s="4" t="s">
        <v>37</v>
      </c>
      <c r="K123" s="3" t="s">
        <v>320</v>
      </c>
      <c r="L123" s="3" t="s">
        <v>317</v>
      </c>
    </row>
    <row r="124" spans="1:12">
      <c r="A124" s="4" t="s">
        <v>234</v>
      </c>
      <c r="B124" s="3" t="s">
        <v>321</v>
      </c>
      <c r="C124" s="4" t="s">
        <v>20</v>
      </c>
      <c r="D124" s="4">
        <v>17</v>
      </c>
      <c r="E124" s="3" t="s">
        <v>322</v>
      </c>
      <c r="F124" s="3" t="s">
        <v>322</v>
      </c>
      <c r="G124" s="3" t="s">
        <v>323</v>
      </c>
      <c r="H124" s="4" t="s">
        <v>234</v>
      </c>
      <c r="I124" s="4"/>
      <c r="J124" s="4" t="s">
        <v>37</v>
      </c>
      <c r="K124" s="3" t="s">
        <v>324</v>
      </c>
      <c r="L124" s="3" t="s">
        <v>325</v>
      </c>
    </row>
    <row r="125" spans="1:12">
      <c r="A125" s="4" t="s">
        <v>234</v>
      </c>
      <c r="B125" s="3" t="s">
        <v>321</v>
      </c>
      <c r="C125" s="4" t="s">
        <v>20</v>
      </c>
      <c r="D125" s="4">
        <v>43</v>
      </c>
      <c r="E125" s="3" t="s">
        <v>326</v>
      </c>
      <c r="F125" s="3" t="s">
        <v>326</v>
      </c>
      <c r="G125" s="3" t="s">
        <v>327</v>
      </c>
      <c r="H125" s="4" t="s">
        <v>234</v>
      </c>
      <c r="I125" s="4"/>
      <c r="J125" s="4" t="s">
        <v>23</v>
      </c>
      <c r="K125" s="3" t="s">
        <v>324</v>
      </c>
      <c r="L125" s="3" t="s">
        <v>325</v>
      </c>
    </row>
    <row r="126" spans="1:12">
      <c r="A126" s="4" t="s">
        <v>234</v>
      </c>
      <c r="B126" s="3" t="s">
        <v>321</v>
      </c>
      <c r="C126" s="4" t="s">
        <v>20</v>
      </c>
      <c r="D126" s="4">
        <v>52</v>
      </c>
      <c r="E126" s="3" t="s">
        <v>242</v>
      </c>
      <c r="F126" s="3" t="s">
        <v>242</v>
      </c>
      <c r="G126" s="3" t="s">
        <v>328</v>
      </c>
      <c r="H126" s="4" t="s">
        <v>234</v>
      </c>
      <c r="I126" s="4" t="s">
        <v>208</v>
      </c>
      <c r="J126" s="4" t="s">
        <v>37</v>
      </c>
      <c r="K126" s="3" t="s">
        <v>324</v>
      </c>
      <c r="L126" s="3" t="s">
        <v>325</v>
      </c>
    </row>
    <row r="127" spans="1:12">
      <c r="A127" s="4" t="s">
        <v>234</v>
      </c>
      <c r="B127" s="3" t="s">
        <v>321</v>
      </c>
      <c r="C127" s="4" t="s">
        <v>20</v>
      </c>
      <c r="D127" s="4">
        <v>93</v>
      </c>
      <c r="E127" s="3" t="s">
        <v>329</v>
      </c>
      <c r="F127" s="3" t="s">
        <v>329</v>
      </c>
      <c r="G127" s="3" t="s">
        <v>330</v>
      </c>
      <c r="H127" s="4" t="s">
        <v>234</v>
      </c>
      <c r="I127" s="4"/>
      <c r="J127" s="4" t="s">
        <v>23</v>
      </c>
      <c r="K127" s="3" t="s">
        <v>324</v>
      </c>
      <c r="L127" s="3" t="s">
        <v>325</v>
      </c>
    </row>
    <row r="128" spans="1:12">
      <c r="A128" s="4" t="s">
        <v>234</v>
      </c>
      <c r="B128" s="3" t="s">
        <v>321</v>
      </c>
      <c r="C128" s="4" t="s">
        <v>41</v>
      </c>
      <c r="D128" s="4">
        <v>34</v>
      </c>
      <c r="E128" s="3" t="s">
        <v>232</v>
      </c>
      <c r="F128" s="3" t="s">
        <v>232</v>
      </c>
      <c r="G128" s="3" t="s">
        <v>43</v>
      </c>
      <c r="H128" s="4" t="s">
        <v>208</v>
      </c>
      <c r="I128" s="4" t="s">
        <v>208</v>
      </c>
      <c r="J128" s="4" t="s">
        <v>37</v>
      </c>
      <c r="K128" s="3" t="s">
        <v>331</v>
      </c>
      <c r="L128" s="3" t="s">
        <v>325</v>
      </c>
    </row>
    <row r="129" spans="1:12">
      <c r="A129" s="4" t="s">
        <v>48</v>
      </c>
      <c r="B129" s="3" t="s">
        <v>332</v>
      </c>
      <c r="C129" s="4" t="s">
        <v>20</v>
      </c>
      <c r="D129" s="4">
        <v>28</v>
      </c>
      <c r="E129" s="3" t="s">
        <v>240</v>
      </c>
      <c r="F129" s="3" t="s">
        <v>240</v>
      </c>
      <c r="G129" s="3" t="s">
        <v>333</v>
      </c>
      <c r="H129" s="4" t="s">
        <v>48</v>
      </c>
      <c r="I129" s="4" t="s">
        <v>208</v>
      </c>
      <c r="J129" s="4" t="s">
        <v>23</v>
      </c>
      <c r="K129" s="3" t="s">
        <v>334</v>
      </c>
      <c r="L129" s="3" t="s">
        <v>335</v>
      </c>
    </row>
    <row r="130" spans="1:12">
      <c r="A130" s="4" t="s">
        <v>48</v>
      </c>
      <c r="B130" s="3" t="s">
        <v>332</v>
      </c>
      <c r="C130" s="4" t="s">
        <v>20</v>
      </c>
      <c r="D130" s="4">
        <v>83</v>
      </c>
      <c r="E130" s="3" t="s">
        <v>336</v>
      </c>
      <c r="F130" s="3" t="s">
        <v>336</v>
      </c>
      <c r="G130" s="3" t="s">
        <v>337</v>
      </c>
      <c r="H130" s="4" t="s">
        <v>48</v>
      </c>
      <c r="I130" s="4"/>
      <c r="J130" s="4" t="s">
        <v>23</v>
      </c>
      <c r="K130" s="3" t="s">
        <v>334</v>
      </c>
      <c r="L130" s="3" t="s">
        <v>335</v>
      </c>
    </row>
    <row r="131" spans="1:12">
      <c r="A131" s="4" t="s">
        <v>48</v>
      </c>
      <c r="B131" s="3" t="s">
        <v>332</v>
      </c>
      <c r="C131" s="4" t="s">
        <v>20</v>
      </c>
      <c r="D131" s="4">
        <v>86</v>
      </c>
      <c r="E131" s="3" t="s">
        <v>47</v>
      </c>
      <c r="F131" s="3" t="s">
        <v>47</v>
      </c>
      <c r="G131" s="3" t="s">
        <v>338</v>
      </c>
      <c r="H131" s="4" t="s">
        <v>48</v>
      </c>
      <c r="I131" s="4" t="s">
        <v>18</v>
      </c>
      <c r="J131" s="4" t="s">
        <v>23</v>
      </c>
      <c r="K131" s="3" t="s">
        <v>334</v>
      </c>
      <c r="L131" s="3" t="s">
        <v>335</v>
      </c>
    </row>
    <row r="132" spans="1:12">
      <c r="A132" s="4" t="s">
        <v>48</v>
      </c>
      <c r="B132" s="3" t="s">
        <v>332</v>
      </c>
      <c r="C132" s="4" t="s">
        <v>41</v>
      </c>
      <c r="D132" s="4">
        <v>61</v>
      </c>
      <c r="E132" s="3" t="s">
        <v>262</v>
      </c>
      <c r="F132" s="3" t="s">
        <v>263</v>
      </c>
      <c r="G132" s="3" t="s">
        <v>43</v>
      </c>
      <c r="H132" s="4" t="s">
        <v>231</v>
      </c>
      <c r="I132" s="4" t="s">
        <v>339</v>
      </c>
      <c r="J132" s="4" t="s">
        <v>126</v>
      </c>
      <c r="K132" s="3" t="s">
        <v>340</v>
      </c>
      <c r="L132" s="3" t="s">
        <v>335</v>
      </c>
    </row>
    <row r="133" spans="1:12">
      <c r="A133" s="4" t="s">
        <v>48</v>
      </c>
      <c r="B133" s="3" t="s">
        <v>332</v>
      </c>
      <c r="C133" s="4" t="s">
        <v>41</v>
      </c>
      <c r="D133" s="4">
        <v>75</v>
      </c>
      <c r="E133" s="3" t="s">
        <v>34</v>
      </c>
      <c r="F133" s="3" t="s">
        <v>34</v>
      </c>
      <c r="G133" s="3" t="s">
        <v>43</v>
      </c>
      <c r="H133" s="4" t="s">
        <v>18</v>
      </c>
      <c r="I133" s="4" t="s">
        <v>341</v>
      </c>
      <c r="J133" s="4" t="s">
        <v>37</v>
      </c>
      <c r="K133" s="3" t="s">
        <v>342</v>
      </c>
      <c r="L133" s="3" t="s">
        <v>335</v>
      </c>
    </row>
    <row r="134" spans="1:12">
      <c r="A134" s="4" t="s">
        <v>245</v>
      </c>
      <c r="B134" s="3" t="s">
        <v>343</v>
      </c>
      <c r="C134" s="4" t="s">
        <v>20</v>
      </c>
      <c r="D134" s="4">
        <v>55</v>
      </c>
      <c r="E134" s="3" t="s">
        <v>244</v>
      </c>
      <c r="F134" s="3" t="s">
        <v>244</v>
      </c>
      <c r="G134" s="3" t="s">
        <v>344</v>
      </c>
      <c r="H134" s="4" t="s">
        <v>245</v>
      </c>
      <c r="I134" s="4" t="s">
        <v>208</v>
      </c>
      <c r="J134" s="4" t="s">
        <v>23</v>
      </c>
      <c r="K134" s="3" t="s">
        <v>345</v>
      </c>
      <c r="L134" s="3" t="s">
        <v>346</v>
      </c>
    </row>
    <row r="135" spans="1:12">
      <c r="A135" s="4" t="s">
        <v>245</v>
      </c>
      <c r="B135" s="3" t="s">
        <v>343</v>
      </c>
      <c r="C135" s="4" t="s">
        <v>20</v>
      </c>
      <c r="D135" s="4">
        <v>67</v>
      </c>
      <c r="E135" s="3" t="s">
        <v>347</v>
      </c>
      <c r="F135" s="3" t="s">
        <v>347</v>
      </c>
      <c r="G135" s="3" t="s">
        <v>348</v>
      </c>
      <c r="H135" s="4" t="s">
        <v>245</v>
      </c>
      <c r="I135" s="4"/>
      <c r="J135" s="4" t="s">
        <v>126</v>
      </c>
      <c r="K135" s="3" t="s">
        <v>345</v>
      </c>
      <c r="L135" s="3" t="s">
        <v>346</v>
      </c>
    </row>
    <row r="136" spans="1:12">
      <c r="A136" s="4" t="s">
        <v>245</v>
      </c>
      <c r="B136" s="3" t="s">
        <v>343</v>
      </c>
      <c r="C136" s="4" t="s">
        <v>20</v>
      </c>
      <c r="D136" s="4">
        <v>84</v>
      </c>
      <c r="E136" s="3" t="s">
        <v>247</v>
      </c>
      <c r="F136" s="3" t="s">
        <v>247</v>
      </c>
      <c r="G136" s="3" t="s">
        <v>349</v>
      </c>
      <c r="H136" s="4" t="s">
        <v>245</v>
      </c>
      <c r="I136" s="4" t="s">
        <v>208</v>
      </c>
      <c r="J136" s="4" t="s">
        <v>23</v>
      </c>
      <c r="K136" s="3" t="s">
        <v>345</v>
      </c>
      <c r="L136" s="3" t="s">
        <v>346</v>
      </c>
    </row>
    <row r="137" spans="1:12">
      <c r="A137" s="4" t="s">
        <v>73</v>
      </c>
      <c r="B137" s="3" t="s">
        <v>350</v>
      </c>
      <c r="C137" s="4" t="s">
        <v>20</v>
      </c>
      <c r="D137" s="4">
        <v>66</v>
      </c>
      <c r="E137" s="3" t="s">
        <v>72</v>
      </c>
      <c r="F137" s="3" t="s">
        <v>72</v>
      </c>
      <c r="G137" s="3" t="s">
        <v>351</v>
      </c>
      <c r="H137" s="4" t="s">
        <v>73</v>
      </c>
      <c r="I137" s="4" t="s">
        <v>352</v>
      </c>
      <c r="J137" s="4" t="s">
        <v>23</v>
      </c>
      <c r="K137" s="3" t="s">
        <v>353</v>
      </c>
      <c r="L137" s="3" t="s">
        <v>354</v>
      </c>
    </row>
    <row r="138" spans="1:12">
      <c r="A138" s="4" t="s">
        <v>73</v>
      </c>
      <c r="B138" s="3" t="s">
        <v>350</v>
      </c>
      <c r="C138" s="4" t="s">
        <v>20</v>
      </c>
      <c r="D138" s="4">
        <v>78</v>
      </c>
      <c r="E138" s="3" t="s">
        <v>355</v>
      </c>
      <c r="F138" s="3" t="s">
        <v>355</v>
      </c>
      <c r="G138" s="3" t="s">
        <v>356</v>
      </c>
      <c r="H138" s="4" t="s">
        <v>73</v>
      </c>
      <c r="I138" s="4"/>
      <c r="J138" s="4" t="s">
        <v>23</v>
      </c>
      <c r="K138" s="3" t="s">
        <v>353</v>
      </c>
      <c r="L138" s="3" t="s">
        <v>354</v>
      </c>
    </row>
    <row r="139" spans="1:12">
      <c r="A139" s="4" t="s">
        <v>73</v>
      </c>
      <c r="B139" s="3" t="s">
        <v>350</v>
      </c>
      <c r="C139" s="4" t="s">
        <v>20</v>
      </c>
      <c r="D139" s="4">
        <v>79</v>
      </c>
      <c r="E139" s="3" t="s">
        <v>357</v>
      </c>
      <c r="F139" s="3" t="s">
        <v>357</v>
      </c>
      <c r="G139" s="3" t="s">
        <v>358</v>
      </c>
      <c r="H139" s="4" t="s">
        <v>73</v>
      </c>
      <c r="I139" s="4"/>
      <c r="J139" s="4" t="s">
        <v>23</v>
      </c>
      <c r="K139" s="3" t="s">
        <v>353</v>
      </c>
      <c r="L139" s="3" t="s">
        <v>354</v>
      </c>
    </row>
    <row r="140" spans="1:12">
      <c r="A140" s="4" t="s">
        <v>73</v>
      </c>
      <c r="B140" s="3" t="s">
        <v>350</v>
      </c>
      <c r="C140" s="4" t="s">
        <v>20</v>
      </c>
      <c r="D140" s="4">
        <v>80</v>
      </c>
      <c r="E140" s="3" t="s">
        <v>359</v>
      </c>
      <c r="F140" s="3" t="s">
        <v>359</v>
      </c>
      <c r="G140" s="3" t="s">
        <v>360</v>
      </c>
      <c r="H140" s="4" t="s">
        <v>73</v>
      </c>
      <c r="I140" s="4"/>
      <c r="J140" s="4" t="s">
        <v>23</v>
      </c>
      <c r="K140" s="3" t="s">
        <v>353</v>
      </c>
      <c r="L140" s="3" t="s">
        <v>354</v>
      </c>
    </row>
    <row r="141" spans="1:12">
      <c r="A141" s="4" t="s">
        <v>120</v>
      </c>
      <c r="B141" s="3" t="s">
        <v>361</v>
      </c>
      <c r="C141" s="4" t="s">
        <v>20</v>
      </c>
      <c r="D141" s="4">
        <v>63</v>
      </c>
      <c r="E141" s="3" t="s">
        <v>362</v>
      </c>
      <c r="F141" s="3" t="s">
        <v>362</v>
      </c>
      <c r="G141" s="3" t="s">
        <v>363</v>
      </c>
      <c r="H141" s="4" t="s">
        <v>120</v>
      </c>
      <c r="I141" s="4"/>
      <c r="J141" s="4" t="s">
        <v>23</v>
      </c>
      <c r="K141" s="3" t="s">
        <v>364</v>
      </c>
      <c r="L141" s="3" t="s">
        <v>365</v>
      </c>
    </row>
    <row r="142" spans="1:12">
      <c r="A142" s="4" t="s">
        <v>120</v>
      </c>
      <c r="B142" s="3" t="s">
        <v>361</v>
      </c>
      <c r="C142" s="4" t="s">
        <v>20</v>
      </c>
      <c r="D142" s="4">
        <v>64</v>
      </c>
      <c r="E142" s="3" t="s">
        <v>366</v>
      </c>
      <c r="F142" s="3" t="s">
        <v>366</v>
      </c>
      <c r="G142" s="3" t="s">
        <v>367</v>
      </c>
      <c r="H142" s="4" t="s">
        <v>120</v>
      </c>
      <c r="I142" s="4"/>
      <c r="J142" s="4" t="s">
        <v>37</v>
      </c>
      <c r="K142" s="3" t="s">
        <v>364</v>
      </c>
      <c r="L142" s="3" t="s">
        <v>365</v>
      </c>
    </row>
    <row r="143" spans="1:12">
      <c r="A143" s="4" t="s">
        <v>120</v>
      </c>
      <c r="B143" s="3" t="s">
        <v>361</v>
      </c>
      <c r="C143" s="4" t="s">
        <v>20</v>
      </c>
      <c r="D143" s="4">
        <v>74</v>
      </c>
      <c r="E143" s="3" t="s">
        <v>119</v>
      </c>
      <c r="F143" s="3" t="s">
        <v>119</v>
      </c>
      <c r="G143" s="3" t="s">
        <v>368</v>
      </c>
      <c r="H143" s="4" t="s">
        <v>120</v>
      </c>
      <c r="I143" s="4" t="s">
        <v>369</v>
      </c>
      <c r="J143" s="4" t="s">
        <v>23</v>
      </c>
      <c r="K143" s="3" t="s">
        <v>364</v>
      </c>
      <c r="L143" s="3" t="s">
        <v>365</v>
      </c>
    </row>
    <row r="144" spans="1:12">
      <c r="A144" s="4" t="s">
        <v>120</v>
      </c>
      <c r="B144" s="3" t="s">
        <v>361</v>
      </c>
      <c r="C144" s="4" t="s">
        <v>41</v>
      </c>
      <c r="D144" s="4">
        <v>57</v>
      </c>
      <c r="E144" s="3" t="s">
        <v>301</v>
      </c>
      <c r="F144" s="3" t="s">
        <v>301</v>
      </c>
      <c r="G144" s="3" t="s">
        <v>43</v>
      </c>
      <c r="H144" s="4" t="s">
        <v>302</v>
      </c>
      <c r="I144" s="4" t="s">
        <v>370</v>
      </c>
      <c r="J144" s="4" t="s">
        <v>37</v>
      </c>
      <c r="K144" s="3" t="s">
        <v>371</v>
      </c>
      <c r="L144" s="3" t="s">
        <v>365</v>
      </c>
    </row>
    <row r="145" spans="1:12">
      <c r="A145" s="4" t="s">
        <v>120</v>
      </c>
      <c r="B145" s="3" t="s">
        <v>361</v>
      </c>
      <c r="C145" s="4" t="s">
        <v>41</v>
      </c>
      <c r="D145" s="4">
        <v>66</v>
      </c>
      <c r="E145" s="3" t="s">
        <v>72</v>
      </c>
      <c r="F145" s="3" t="s">
        <v>72</v>
      </c>
      <c r="G145" s="3" t="s">
        <v>43</v>
      </c>
      <c r="H145" s="4" t="s">
        <v>73</v>
      </c>
      <c r="I145" s="4" t="s">
        <v>372</v>
      </c>
      <c r="J145" s="4" t="s">
        <v>37</v>
      </c>
      <c r="K145" s="3" t="s">
        <v>373</v>
      </c>
      <c r="L145" s="3" t="s">
        <v>365</v>
      </c>
    </row>
    <row r="146" spans="1:12">
      <c r="A146" s="4" t="s">
        <v>51</v>
      </c>
      <c r="B146" s="3" t="s">
        <v>374</v>
      </c>
      <c r="C146" s="4" t="s">
        <v>20</v>
      </c>
      <c r="D146" s="4">
        <v>48</v>
      </c>
      <c r="E146" s="3" t="s">
        <v>375</v>
      </c>
      <c r="F146" s="3" t="s">
        <v>376</v>
      </c>
      <c r="G146" s="3" t="s">
        <v>377</v>
      </c>
      <c r="H146" s="4" t="s">
        <v>51</v>
      </c>
      <c r="I146" s="4"/>
      <c r="J146" s="4" t="s">
        <v>23</v>
      </c>
      <c r="K146" s="3" t="s">
        <v>378</v>
      </c>
      <c r="L146" s="3" t="s">
        <v>365</v>
      </c>
    </row>
    <row r="147" spans="1:12">
      <c r="A147" s="4" t="s">
        <v>51</v>
      </c>
      <c r="B147" s="3" t="s">
        <v>374</v>
      </c>
      <c r="C147" s="4" t="s">
        <v>20</v>
      </c>
      <c r="D147" s="4">
        <v>62</v>
      </c>
      <c r="E147" s="3" t="s">
        <v>379</v>
      </c>
      <c r="F147" s="3" t="s">
        <v>379</v>
      </c>
      <c r="G147" s="3" t="s">
        <v>380</v>
      </c>
      <c r="H147" s="4" t="s">
        <v>51</v>
      </c>
      <c r="I147" s="4"/>
      <c r="J147" s="4" t="s">
        <v>23</v>
      </c>
      <c r="K147" s="3" t="s">
        <v>378</v>
      </c>
      <c r="L147" s="3" t="s">
        <v>365</v>
      </c>
    </row>
    <row r="148" spans="1:12">
      <c r="A148" s="4" t="s">
        <v>51</v>
      </c>
      <c r="B148" s="3" t="s">
        <v>374</v>
      </c>
      <c r="C148" s="4" t="s">
        <v>20</v>
      </c>
      <c r="D148" s="4">
        <v>92</v>
      </c>
      <c r="E148" s="3" t="s">
        <v>50</v>
      </c>
      <c r="F148" s="3" t="s">
        <v>50</v>
      </c>
      <c r="G148" s="3" t="s">
        <v>381</v>
      </c>
      <c r="H148" s="4" t="s">
        <v>51</v>
      </c>
      <c r="I148" s="4" t="s">
        <v>382</v>
      </c>
      <c r="J148" s="4" t="s">
        <v>37</v>
      </c>
      <c r="K148" s="3" t="s">
        <v>378</v>
      </c>
      <c r="L148" s="3" t="s">
        <v>365</v>
      </c>
    </row>
    <row r="149" spans="1:12">
      <c r="A149" s="4" t="s">
        <v>51</v>
      </c>
      <c r="B149" s="3" t="s">
        <v>374</v>
      </c>
      <c r="C149" s="4" t="s">
        <v>41</v>
      </c>
      <c r="D149" s="4">
        <v>75</v>
      </c>
      <c r="E149" s="3" t="s">
        <v>34</v>
      </c>
      <c r="F149" s="3" t="s">
        <v>34</v>
      </c>
      <c r="G149" s="3" t="s">
        <v>43</v>
      </c>
      <c r="H149" s="4" t="s">
        <v>18</v>
      </c>
      <c r="I149" s="4" t="s">
        <v>383</v>
      </c>
      <c r="J149" s="4" t="s">
        <v>37</v>
      </c>
      <c r="K149" s="3" t="s">
        <v>384</v>
      </c>
      <c r="L149" s="3" t="s">
        <v>365</v>
      </c>
    </row>
    <row r="150" spans="1:12">
      <c r="A150" s="4" t="s">
        <v>218</v>
      </c>
      <c r="B150" s="3" t="s">
        <v>385</v>
      </c>
      <c r="C150" s="4" t="s">
        <v>20</v>
      </c>
      <c r="D150" s="4">
        <v>35</v>
      </c>
      <c r="E150" s="3" t="s">
        <v>386</v>
      </c>
      <c r="F150" s="3" t="s">
        <v>386</v>
      </c>
      <c r="G150" s="3" t="s">
        <v>387</v>
      </c>
      <c r="H150" s="4" t="s">
        <v>218</v>
      </c>
      <c r="I150" s="4"/>
      <c r="J150" s="4" t="s">
        <v>23</v>
      </c>
      <c r="K150" s="3" t="s">
        <v>388</v>
      </c>
      <c r="L150" s="3" t="s">
        <v>389</v>
      </c>
    </row>
    <row r="151" spans="1:12">
      <c r="A151" s="4" t="s">
        <v>218</v>
      </c>
      <c r="B151" s="3" t="s">
        <v>385</v>
      </c>
      <c r="C151" s="4" t="s">
        <v>20</v>
      </c>
      <c r="D151" s="4">
        <v>58</v>
      </c>
      <c r="E151" s="3" t="s">
        <v>222</v>
      </c>
      <c r="F151" s="3" t="s">
        <v>223</v>
      </c>
      <c r="G151" s="3" t="s">
        <v>390</v>
      </c>
      <c r="H151" s="4" t="s">
        <v>218</v>
      </c>
      <c r="I151" s="4" t="s">
        <v>198</v>
      </c>
      <c r="J151" s="4" t="s">
        <v>23</v>
      </c>
      <c r="K151" s="3" t="s">
        <v>388</v>
      </c>
      <c r="L151" s="3" t="s">
        <v>389</v>
      </c>
    </row>
    <row r="152" spans="1:12">
      <c r="A152" s="4" t="s">
        <v>218</v>
      </c>
      <c r="B152" s="3" t="s">
        <v>385</v>
      </c>
      <c r="C152" s="4" t="s">
        <v>41</v>
      </c>
      <c r="D152" s="4">
        <v>24</v>
      </c>
      <c r="E152" s="3" t="s">
        <v>283</v>
      </c>
      <c r="F152" s="3" t="s">
        <v>283</v>
      </c>
      <c r="G152" s="3" t="s">
        <v>43</v>
      </c>
      <c r="H152" s="4" t="s">
        <v>278</v>
      </c>
      <c r="I152" s="4" t="s">
        <v>278</v>
      </c>
      <c r="J152" s="4" t="s">
        <v>37</v>
      </c>
      <c r="K152" s="3" t="s">
        <v>391</v>
      </c>
      <c r="L152" s="3" t="s">
        <v>389</v>
      </c>
    </row>
    <row r="153" spans="1:12">
      <c r="A153" s="4" t="s">
        <v>218</v>
      </c>
      <c r="B153" s="3" t="s">
        <v>385</v>
      </c>
      <c r="C153" s="4" t="s">
        <v>41</v>
      </c>
      <c r="D153" s="4">
        <v>44</v>
      </c>
      <c r="E153" s="3" t="s">
        <v>216</v>
      </c>
      <c r="F153" s="3" t="s">
        <v>216</v>
      </c>
      <c r="G153" s="3" t="s">
        <v>43</v>
      </c>
      <c r="H153" s="4" t="s">
        <v>198</v>
      </c>
      <c r="I153" s="4" t="s">
        <v>198</v>
      </c>
      <c r="J153" s="4" t="s">
        <v>37</v>
      </c>
      <c r="K153" s="3" t="s">
        <v>392</v>
      </c>
      <c r="L153" s="3" t="s">
        <v>389</v>
      </c>
    </row>
    <row r="154" spans="1:12">
      <c r="A154" s="4" t="s">
        <v>302</v>
      </c>
      <c r="B154" s="3" t="s">
        <v>393</v>
      </c>
      <c r="C154" s="4" t="s">
        <v>20</v>
      </c>
      <c r="D154" s="4">
        <v>57</v>
      </c>
      <c r="E154" s="3" t="s">
        <v>301</v>
      </c>
      <c r="F154" s="3" t="s">
        <v>301</v>
      </c>
      <c r="G154" s="3" t="s">
        <v>394</v>
      </c>
      <c r="H154" s="4" t="s">
        <v>302</v>
      </c>
      <c r="I154" s="4" t="s">
        <v>395</v>
      </c>
      <c r="J154" s="4" t="s">
        <v>37</v>
      </c>
      <c r="K154" s="3" t="s">
        <v>396</v>
      </c>
      <c r="L154" s="3" t="s">
        <v>397</v>
      </c>
    </row>
    <row r="155" spans="1:12">
      <c r="A155" s="4" t="s">
        <v>302</v>
      </c>
      <c r="B155" s="3" t="s">
        <v>393</v>
      </c>
      <c r="C155" s="4" t="s">
        <v>41</v>
      </c>
      <c r="D155" s="4">
        <v>72</v>
      </c>
      <c r="E155" s="3" t="s">
        <v>266</v>
      </c>
      <c r="F155" s="3" t="s">
        <v>266</v>
      </c>
      <c r="G155" s="3" t="s">
        <v>43</v>
      </c>
      <c r="H155" s="4" t="s">
        <v>256</v>
      </c>
      <c r="I155" s="4" t="s">
        <v>398</v>
      </c>
      <c r="J155" s="4" t="s">
        <v>37</v>
      </c>
      <c r="K155" s="3" t="s">
        <v>399</v>
      </c>
      <c r="L155" s="3" t="s">
        <v>397</v>
      </c>
    </row>
    <row r="156" spans="1:12">
      <c r="A156" s="4" t="s">
        <v>302</v>
      </c>
      <c r="B156" s="3" t="s">
        <v>393</v>
      </c>
      <c r="C156" s="4" t="s">
        <v>41</v>
      </c>
      <c r="D156" s="4">
        <v>74</v>
      </c>
      <c r="E156" s="3" t="s">
        <v>119</v>
      </c>
      <c r="F156" s="3" t="s">
        <v>119</v>
      </c>
      <c r="G156" s="3" t="s">
        <v>43</v>
      </c>
      <c r="H156" s="4" t="s">
        <v>120</v>
      </c>
      <c r="I156" s="4" t="s">
        <v>400</v>
      </c>
      <c r="J156" s="4" t="s">
        <v>37</v>
      </c>
      <c r="K156" s="3" t="s">
        <v>401</v>
      </c>
      <c r="L156" s="3" t="s">
        <v>397</v>
      </c>
    </row>
    <row r="157" spans="1:12">
      <c r="A157" s="4" t="s">
        <v>231</v>
      </c>
      <c r="B157" s="3" t="s">
        <v>402</v>
      </c>
      <c r="C157" s="4" t="s">
        <v>20</v>
      </c>
      <c r="D157" s="4">
        <v>61</v>
      </c>
      <c r="E157" s="3" t="s">
        <v>262</v>
      </c>
      <c r="F157" s="3" t="s">
        <v>263</v>
      </c>
      <c r="G157" s="3" t="s">
        <v>403</v>
      </c>
      <c r="H157" s="4" t="s">
        <v>231</v>
      </c>
      <c r="I157" s="4" t="s">
        <v>404</v>
      </c>
      <c r="J157" s="4" t="s">
        <v>126</v>
      </c>
      <c r="K157" s="3" t="s">
        <v>405</v>
      </c>
      <c r="L157" s="3" t="s">
        <v>406</v>
      </c>
    </row>
    <row r="158" spans="1:12">
      <c r="A158" s="4" t="s">
        <v>231</v>
      </c>
      <c r="B158" s="3" t="s">
        <v>402</v>
      </c>
      <c r="C158" s="4" t="s">
        <v>41</v>
      </c>
      <c r="D158" s="4">
        <v>32</v>
      </c>
      <c r="E158" s="3" t="s">
        <v>229</v>
      </c>
      <c r="F158" s="3" t="s">
        <v>229</v>
      </c>
      <c r="G158" s="3" t="s">
        <v>43</v>
      </c>
      <c r="H158" s="4" t="s">
        <v>208</v>
      </c>
      <c r="I158" s="4" t="s">
        <v>208</v>
      </c>
      <c r="J158" s="4" t="s">
        <v>37</v>
      </c>
      <c r="K158" s="3" t="s">
        <v>407</v>
      </c>
      <c r="L158" s="3" t="s">
        <v>406</v>
      </c>
    </row>
    <row r="159" spans="1:12">
      <c r="A159" s="4" t="s">
        <v>231</v>
      </c>
      <c r="B159" s="3" t="s">
        <v>402</v>
      </c>
      <c r="C159" s="4" t="s">
        <v>41</v>
      </c>
      <c r="D159" s="4">
        <v>71</v>
      </c>
      <c r="E159" s="3" t="s">
        <v>258</v>
      </c>
      <c r="F159" s="3" t="s">
        <v>258</v>
      </c>
      <c r="G159" s="3" t="s">
        <v>43</v>
      </c>
      <c r="H159" s="4" t="s">
        <v>77</v>
      </c>
      <c r="I159" s="4" t="s">
        <v>77</v>
      </c>
      <c r="J159" s="4" t="s">
        <v>37</v>
      </c>
      <c r="K159" s="3" t="s">
        <v>408</v>
      </c>
      <c r="L159" s="3" t="s">
        <v>406</v>
      </c>
    </row>
    <row r="160" spans="1:12">
      <c r="A160" s="4" t="s">
        <v>409</v>
      </c>
      <c r="B160" s="3" t="s">
        <v>410</v>
      </c>
      <c r="C160" s="4" t="s">
        <v>20</v>
      </c>
      <c r="D160" s="4">
        <v>49</v>
      </c>
      <c r="E160" s="3" t="s">
        <v>411</v>
      </c>
      <c r="F160" s="3" t="s">
        <v>411</v>
      </c>
      <c r="G160" s="3" t="s">
        <v>412</v>
      </c>
      <c r="H160" s="4" t="s">
        <v>409</v>
      </c>
      <c r="I160" s="4"/>
      <c r="J160" s="4" t="s">
        <v>23</v>
      </c>
      <c r="K160" s="3" t="s">
        <v>413</v>
      </c>
      <c r="L160" s="3" t="s">
        <v>414</v>
      </c>
    </row>
  </sheetData>
  <mergeCells count="10">
    <mergeCell ref="A4:B4"/>
    <mergeCell ref="C4:D4"/>
    <mergeCell ref="E4:F4"/>
    <mergeCell ref="G4:H4"/>
    <mergeCell ref="A1:L1"/>
    <mergeCell ref="A2:L2"/>
    <mergeCell ref="A3:B3"/>
    <mergeCell ref="C3:D3"/>
    <mergeCell ref="E3:F3"/>
    <mergeCell ref="G3:H3"/>
  </mergeCells>
  <conditionalFormatting sqref="A7:L160">
    <cfRule type="expression" dxfId="8" priority="1">
      <formula>$C7="Cross-listed"</formula>
    </cfRule>
  </conditionalFormatting>
  <conditionalFormatting sqref="J7:J160">
    <cfRule type="expression" dxfId="7" priority="2">
      <formula>$J7="High"</formula>
    </cfRule>
    <cfRule type="expression" dxfId="6" priority="3">
      <formula>$J7="Medium"</formula>
    </cfRule>
    <cfRule type="expression" dxfId="5" priority="4">
      <formula>$J7="Low"</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zoomScaleNormal="100" zoomScaleSheetLayoutView="100" workbookViewId="0"/>
  </sheetViews>
  <sheetFormatPr defaultRowHeight="15"/>
  <cols>
    <col min="1" max="1" width="12" customWidth="1"/>
    <col min="2" max="2" width="40" customWidth="1"/>
    <col min="3" max="3" width="55" customWidth="1"/>
    <col min="4" max="4" width="60" customWidth="1"/>
    <col min="5" max="5" width="14" customWidth="1"/>
    <col min="6" max="6" width="62" customWidth="1"/>
    <col min="7" max="7" width="55" customWidth="1"/>
    <col min="8" max="8" width="12" customWidth="1"/>
    <col min="9" max="9" width="18" customWidth="1"/>
  </cols>
  <sheetData>
    <row r="1" spans="1:9" ht="30" customHeight="1">
      <c r="A1" s="16" t="s">
        <v>415</v>
      </c>
      <c r="B1" s="16"/>
      <c r="C1" s="16"/>
      <c r="D1" s="16"/>
      <c r="E1" s="16"/>
      <c r="F1" s="16"/>
      <c r="G1" s="16"/>
      <c r="H1" s="16"/>
      <c r="I1" s="16"/>
    </row>
    <row r="3" spans="1:9" ht="66" customHeight="1">
      <c r="A3" s="5" t="s">
        <v>416</v>
      </c>
      <c r="B3" s="6" t="s">
        <v>417</v>
      </c>
      <c r="D3" s="19" t="s">
        <v>418</v>
      </c>
      <c r="E3" s="19"/>
      <c r="F3" s="19"/>
    </row>
    <row r="4" spans="1:9" ht="39.6" customHeight="1">
      <c r="A4" s="7" t="s">
        <v>419</v>
      </c>
      <c r="B4" s="8" t="s">
        <v>420</v>
      </c>
      <c r="D4" s="11" t="s">
        <v>421</v>
      </c>
      <c r="E4" s="2">
        <v>94</v>
      </c>
      <c r="F4" s="12"/>
    </row>
    <row r="5" spans="1:9" ht="52.7" customHeight="1">
      <c r="A5" s="7" t="s">
        <v>422</v>
      </c>
      <c r="B5" s="8" t="s">
        <v>423</v>
      </c>
      <c r="D5" s="11" t="s">
        <v>2</v>
      </c>
      <c r="E5" s="2">
        <f>COUNTIF('Clustered Concerns'!C6:C300,"Primary")</f>
        <v>94</v>
      </c>
      <c r="F5" s="12"/>
    </row>
    <row r="6" spans="1:9" ht="66" customHeight="1">
      <c r="A6" s="7" t="s">
        <v>424</v>
      </c>
      <c r="B6" s="8" t="s">
        <v>425</v>
      </c>
      <c r="D6" s="11" t="s">
        <v>3</v>
      </c>
      <c r="E6" s="2">
        <f>COUNTIF('Clustered Concerns'!C6:C300,"Cross-listed")</f>
        <v>60</v>
      </c>
      <c r="F6" s="12"/>
    </row>
    <row r="7" spans="1:9" ht="66" customHeight="1">
      <c r="A7" s="7" t="s">
        <v>426</v>
      </c>
      <c r="B7" s="8" t="s">
        <v>427</v>
      </c>
      <c r="D7" s="11" t="s">
        <v>4</v>
      </c>
      <c r="E7" s="2">
        <v>25</v>
      </c>
      <c r="F7" s="12"/>
    </row>
    <row r="8" spans="1:9" ht="52.7" customHeight="1">
      <c r="A8" s="7" t="s">
        <v>428</v>
      </c>
      <c r="B8" s="8" t="s">
        <v>429</v>
      </c>
      <c r="D8" s="11" t="s">
        <v>430</v>
      </c>
      <c r="E8" s="2" t="str">
        <f>IF(E5=E4,"PASS","CHECK")</f>
        <v>PASS</v>
      </c>
      <c r="F8" s="12" t="str">
        <f>IF(E8="PASS","PASS","CHECK")</f>
        <v>PASS</v>
      </c>
    </row>
    <row r="9" spans="1:9" ht="52.7" customHeight="1">
      <c r="A9" s="7" t="s">
        <v>431</v>
      </c>
      <c r="B9" s="8" t="s">
        <v>432</v>
      </c>
      <c r="D9" s="11" t="s">
        <v>433</v>
      </c>
      <c r="E9" s="2" t="s">
        <v>434</v>
      </c>
      <c r="F9" s="12" t="s">
        <v>435</v>
      </c>
    </row>
    <row r="10" spans="1:9" ht="52.7" customHeight="1">
      <c r="A10" s="7" t="s">
        <v>436</v>
      </c>
      <c r="B10" s="8" t="s">
        <v>437</v>
      </c>
      <c r="D10" s="11" t="s">
        <v>438</v>
      </c>
      <c r="E10" s="2" t="s">
        <v>439</v>
      </c>
      <c r="F10" s="12" t="s">
        <v>435</v>
      </c>
    </row>
    <row r="11" spans="1:9" ht="52.7" customHeight="1">
      <c r="A11" s="9" t="s">
        <v>440</v>
      </c>
      <c r="B11" s="10" t="s">
        <v>441</v>
      </c>
    </row>
    <row r="14" spans="1:9" ht="36" customHeight="1">
      <c r="A14" s="1" t="s">
        <v>6</v>
      </c>
      <c r="B14" s="1" t="s">
        <v>7</v>
      </c>
      <c r="C14" s="1" t="s">
        <v>442</v>
      </c>
      <c r="D14" s="1" t="s">
        <v>443</v>
      </c>
      <c r="E14" s="1" t="s">
        <v>444</v>
      </c>
      <c r="F14" s="1" t="s">
        <v>445</v>
      </c>
      <c r="G14" s="1" t="s">
        <v>446</v>
      </c>
      <c r="H14" s="1" t="s">
        <v>15</v>
      </c>
      <c r="I14" s="1" t="s">
        <v>17</v>
      </c>
    </row>
    <row r="15" spans="1:9">
      <c r="A15" s="3" t="s">
        <v>18</v>
      </c>
      <c r="B15" s="3" t="s">
        <v>19</v>
      </c>
      <c r="C15" s="3" t="s">
        <v>447</v>
      </c>
      <c r="D15" s="3" t="s">
        <v>448</v>
      </c>
      <c r="E15" s="3" t="s">
        <v>449</v>
      </c>
      <c r="F15" s="3" t="s">
        <v>450</v>
      </c>
      <c r="G15" s="3" t="s">
        <v>451</v>
      </c>
      <c r="H15" s="3" t="s">
        <v>23</v>
      </c>
      <c r="I15" s="3" t="s">
        <v>25</v>
      </c>
    </row>
    <row r="16" spans="1:9">
      <c r="A16" s="3" t="s">
        <v>44</v>
      </c>
      <c r="B16" s="3" t="s">
        <v>54</v>
      </c>
      <c r="C16" s="3" t="s">
        <v>452</v>
      </c>
      <c r="D16" s="3" t="s">
        <v>453</v>
      </c>
      <c r="E16" s="3" t="s">
        <v>454</v>
      </c>
      <c r="F16" s="3" t="s">
        <v>455</v>
      </c>
      <c r="G16" s="3" t="s">
        <v>456</v>
      </c>
      <c r="H16" s="3" t="s">
        <v>23</v>
      </c>
      <c r="I16" s="3" t="s">
        <v>58</v>
      </c>
    </row>
    <row r="17" spans="1:9">
      <c r="A17" s="3" t="s">
        <v>68</v>
      </c>
      <c r="B17" s="3" t="s">
        <v>81</v>
      </c>
      <c r="C17" s="3" t="s">
        <v>457</v>
      </c>
      <c r="D17" s="3" t="s">
        <v>458</v>
      </c>
      <c r="E17" s="3" t="s">
        <v>459</v>
      </c>
      <c r="F17" s="3" t="s">
        <v>460</v>
      </c>
      <c r="G17" s="3" t="s">
        <v>461</v>
      </c>
      <c r="H17" s="3" t="s">
        <v>23</v>
      </c>
      <c r="I17" s="3" t="s">
        <v>85</v>
      </c>
    </row>
    <row r="18" spans="1:9">
      <c r="A18" s="3" t="s">
        <v>94</v>
      </c>
      <c r="B18" s="3" t="s">
        <v>101</v>
      </c>
      <c r="C18" s="3" t="s">
        <v>462</v>
      </c>
      <c r="D18" s="3" t="s">
        <v>463</v>
      </c>
      <c r="E18" s="3" t="s">
        <v>464</v>
      </c>
      <c r="F18" s="3" t="s">
        <v>465</v>
      </c>
      <c r="G18" s="3" t="s">
        <v>466</v>
      </c>
      <c r="H18" s="3" t="s">
        <v>23</v>
      </c>
      <c r="I18" s="3" t="s">
        <v>105</v>
      </c>
    </row>
    <row r="19" spans="1:9">
      <c r="A19" s="3" t="s">
        <v>111</v>
      </c>
      <c r="B19" s="3" t="s">
        <v>128</v>
      </c>
      <c r="C19" s="3" t="s">
        <v>467</v>
      </c>
      <c r="D19" s="3" t="s">
        <v>468</v>
      </c>
      <c r="E19" s="3" t="s">
        <v>469</v>
      </c>
      <c r="F19" s="3" t="s">
        <v>470</v>
      </c>
      <c r="G19" s="3" t="s">
        <v>471</v>
      </c>
      <c r="H19" s="3" t="s">
        <v>23</v>
      </c>
      <c r="I19" s="3" t="s">
        <v>132</v>
      </c>
    </row>
    <row r="20" spans="1:9">
      <c r="A20" s="3" t="s">
        <v>124</v>
      </c>
      <c r="B20" s="3" t="s">
        <v>148</v>
      </c>
      <c r="C20" s="3" t="s">
        <v>472</v>
      </c>
      <c r="D20" s="3" t="s">
        <v>473</v>
      </c>
      <c r="E20" s="3" t="s">
        <v>474</v>
      </c>
      <c r="F20" s="3" t="s">
        <v>475</v>
      </c>
      <c r="G20" s="3" t="s">
        <v>476</v>
      </c>
      <c r="H20" s="3" t="s">
        <v>23</v>
      </c>
      <c r="I20" s="3" t="s">
        <v>152</v>
      </c>
    </row>
    <row r="21" spans="1:9">
      <c r="A21" s="3" t="s">
        <v>145</v>
      </c>
      <c r="B21" s="3" t="s">
        <v>166</v>
      </c>
      <c r="C21" s="3" t="s">
        <v>477</v>
      </c>
      <c r="D21" s="3" t="s">
        <v>478</v>
      </c>
      <c r="E21" s="3" t="s">
        <v>479</v>
      </c>
      <c r="F21" s="3" t="s">
        <v>480</v>
      </c>
      <c r="G21" s="3" t="s">
        <v>481</v>
      </c>
      <c r="H21" s="3" t="s">
        <v>23</v>
      </c>
      <c r="I21" s="3" t="s">
        <v>170</v>
      </c>
    </row>
    <row r="22" spans="1:9">
      <c r="A22" s="3" t="s">
        <v>98</v>
      </c>
      <c r="B22" s="3" t="s">
        <v>186</v>
      </c>
      <c r="C22" s="3" t="s">
        <v>482</v>
      </c>
      <c r="D22" s="3" t="s">
        <v>483</v>
      </c>
      <c r="E22" s="3" t="s">
        <v>484</v>
      </c>
      <c r="F22" s="3" t="s">
        <v>485</v>
      </c>
      <c r="G22" s="3" t="s">
        <v>486</v>
      </c>
      <c r="H22" s="3" t="s">
        <v>23</v>
      </c>
      <c r="I22" s="3" t="s">
        <v>190</v>
      </c>
    </row>
    <row r="23" spans="1:9">
      <c r="A23" s="3" t="s">
        <v>198</v>
      </c>
      <c r="B23" s="3" t="s">
        <v>199</v>
      </c>
      <c r="C23" s="3" t="s">
        <v>487</v>
      </c>
      <c r="D23" s="3" t="s">
        <v>488</v>
      </c>
      <c r="E23" s="3" t="s">
        <v>489</v>
      </c>
      <c r="F23" s="3" t="s">
        <v>490</v>
      </c>
      <c r="G23" s="3" t="s">
        <v>491</v>
      </c>
      <c r="H23" s="3" t="s">
        <v>23</v>
      </c>
      <c r="I23" s="3" t="s">
        <v>203</v>
      </c>
    </row>
    <row r="24" spans="1:9">
      <c r="A24" s="3" t="s">
        <v>208</v>
      </c>
      <c r="B24" s="3" t="s">
        <v>225</v>
      </c>
      <c r="C24" s="3" t="s">
        <v>492</v>
      </c>
      <c r="D24" s="3" t="s">
        <v>493</v>
      </c>
      <c r="E24" s="3" t="s">
        <v>494</v>
      </c>
      <c r="F24" s="3" t="s">
        <v>495</v>
      </c>
      <c r="G24" s="3" t="s">
        <v>496</v>
      </c>
      <c r="H24" s="3" t="s">
        <v>23</v>
      </c>
      <c r="I24" s="3" t="s">
        <v>228</v>
      </c>
    </row>
    <row r="25" spans="1:9">
      <c r="A25" s="3" t="s">
        <v>77</v>
      </c>
      <c r="B25" s="3" t="s">
        <v>248</v>
      </c>
      <c r="C25" s="3" t="s">
        <v>497</v>
      </c>
      <c r="D25" s="3" t="s">
        <v>498</v>
      </c>
      <c r="E25" s="3" t="s">
        <v>499</v>
      </c>
      <c r="F25" s="3" t="s">
        <v>500</v>
      </c>
      <c r="G25" s="3" t="s">
        <v>501</v>
      </c>
      <c r="H25" s="3" t="s">
        <v>23</v>
      </c>
      <c r="I25" s="3" t="s">
        <v>251</v>
      </c>
    </row>
    <row r="26" spans="1:9">
      <c r="A26" s="3" t="s">
        <v>256</v>
      </c>
      <c r="B26" s="3" t="s">
        <v>271</v>
      </c>
      <c r="C26" s="3" t="s">
        <v>502</v>
      </c>
      <c r="D26" s="3" t="s">
        <v>503</v>
      </c>
      <c r="E26" s="3" t="s">
        <v>504</v>
      </c>
      <c r="F26" s="3" t="s">
        <v>505</v>
      </c>
      <c r="G26" s="3" t="s">
        <v>506</v>
      </c>
      <c r="H26" s="3" t="s">
        <v>23</v>
      </c>
      <c r="I26" s="3" t="s">
        <v>275</v>
      </c>
    </row>
    <row r="27" spans="1:9">
      <c r="A27" s="3" t="s">
        <v>278</v>
      </c>
      <c r="B27" s="3" t="s">
        <v>282</v>
      </c>
      <c r="C27" s="3" t="s">
        <v>507</v>
      </c>
      <c r="D27" s="3" t="s">
        <v>508</v>
      </c>
      <c r="E27" s="3" t="s">
        <v>509</v>
      </c>
      <c r="F27" s="3" t="s">
        <v>510</v>
      </c>
      <c r="G27" s="3" t="s">
        <v>511</v>
      </c>
      <c r="H27" s="3" t="s">
        <v>23</v>
      </c>
      <c r="I27" s="3" t="s">
        <v>286</v>
      </c>
    </row>
    <row r="28" spans="1:9">
      <c r="A28" s="3" t="s">
        <v>181</v>
      </c>
      <c r="B28" s="3" t="s">
        <v>305</v>
      </c>
      <c r="C28" s="3" t="s">
        <v>512</v>
      </c>
      <c r="D28" s="3" t="s">
        <v>513</v>
      </c>
      <c r="E28" s="3" t="s">
        <v>514</v>
      </c>
      <c r="F28" s="3" t="s">
        <v>515</v>
      </c>
      <c r="G28" s="3" t="s">
        <v>516</v>
      </c>
      <c r="H28" s="3" t="s">
        <v>23</v>
      </c>
      <c r="I28" s="3" t="s">
        <v>309</v>
      </c>
    </row>
    <row r="29" spans="1:9">
      <c r="A29" s="3" t="s">
        <v>290</v>
      </c>
      <c r="B29" s="3" t="s">
        <v>313</v>
      </c>
      <c r="C29" s="3" t="s">
        <v>517</v>
      </c>
      <c r="D29" s="3" t="s">
        <v>518</v>
      </c>
      <c r="E29" s="3" t="s">
        <v>519</v>
      </c>
      <c r="F29" s="3" t="s">
        <v>520</v>
      </c>
      <c r="G29" s="3" t="s">
        <v>521</v>
      </c>
      <c r="H29" s="3" t="s">
        <v>23</v>
      </c>
      <c r="I29" s="3" t="s">
        <v>317</v>
      </c>
    </row>
    <row r="30" spans="1:9">
      <c r="A30" s="3" t="s">
        <v>234</v>
      </c>
      <c r="B30" s="3" t="s">
        <v>321</v>
      </c>
      <c r="C30" s="3" t="s">
        <v>522</v>
      </c>
      <c r="D30" s="3" t="s">
        <v>523</v>
      </c>
      <c r="E30" s="3" t="s">
        <v>524</v>
      </c>
      <c r="F30" s="3" t="s">
        <v>525</v>
      </c>
      <c r="G30" s="3" t="s">
        <v>526</v>
      </c>
      <c r="H30" s="3" t="s">
        <v>23</v>
      </c>
      <c r="I30" s="3" t="s">
        <v>325</v>
      </c>
    </row>
    <row r="31" spans="1:9">
      <c r="A31" s="3" t="s">
        <v>48</v>
      </c>
      <c r="B31" s="3" t="s">
        <v>332</v>
      </c>
      <c r="C31" s="3" t="s">
        <v>527</v>
      </c>
      <c r="D31" s="3" t="s">
        <v>528</v>
      </c>
      <c r="E31" s="3" t="s">
        <v>529</v>
      </c>
      <c r="F31" s="3" t="s">
        <v>530</v>
      </c>
      <c r="G31" s="3" t="s">
        <v>531</v>
      </c>
      <c r="H31" s="3" t="s">
        <v>23</v>
      </c>
      <c r="I31" s="3" t="s">
        <v>335</v>
      </c>
    </row>
    <row r="32" spans="1:9">
      <c r="A32" s="3" t="s">
        <v>245</v>
      </c>
      <c r="B32" s="3" t="s">
        <v>343</v>
      </c>
      <c r="C32" s="3" t="s">
        <v>532</v>
      </c>
      <c r="D32" s="3" t="s">
        <v>533</v>
      </c>
      <c r="E32" s="3" t="s">
        <v>534</v>
      </c>
      <c r="F32" s="3" t="s">
        <v>535</v>
      </c>
      <c r="G32" s="3" t="s">
        <v>536</v>
      </c>
      <c r="H32" s="3" t="s">
        <v>37</v>
      </c>
      <c r="I32" s="3" t="s">
        <v>346</v>
      </c>
    </row>
    <row r="33" spans="1:9">
      <c r="A33" s="3" t="s">
        <v>73</v>
      </c>
      <c r="B33" s="3" t="s">
        <v>350</v>
      </c>
      <c r="C33" s="3" t="s">
        <v>537</v>
      </c>
      <c r="D33" s="3" t="s">
        <v>538</v>
      </c>
      <c r="E33" s="3" t="s">
        <v>534</v>
      </c>
      <c r="F33" s="3" t="s">
        <v>539</v>
      </c>
      <c r="G33" s="3" t="s">
        <v>540</v>
      </c>
      <c r="H33" s="3" t="s">
        <v>23</v>
      </c>
      <c r="I33" s="3" t="s">
        <v>354</v>
      </c>
    </row>
    <row r="34" spans="1:9">
      <c r="A34" s="3" t="s">
        <v>120</v>
      </c>
      <c r="B34" s="3" t="s">
        <v>361</v>
      </c>
      <c r="C34" s="3" t="s">
        <v>541</v>
      </c>
      <c r="D34" s="3" t="s">
        <v>542</v>
      </c>
      <c r="E34" s="3" t="s">
        <v>543</v>
      </c>
      <c r="F34" s="3" t="s">
        <v>544</v>
      </c>
      <c r="G34" s="3" t="s">
        <v>545</v>
      </c>
      <c r="H34" s="3" t="s">
        <v>37</v>
      </c>
      <c r="I34" s="3" t="s">
        <v>365</v>
      </c>
    </row>
    <row r="35" spans="1:9">
      <c r="A35" s="3" t="s">
        <v>51</v>
      </c>
      <c r="B35" s="3" t="s">
        <v>374</v>
      </c>
      <c r="C35" s="3" t="s">
        <v>546</v>
      </c>
      <c r="D35" s="3" t="s">
        <v>547</v>
      </c>
      <c r="E35" s="3" t="s">
        <v>548</v>
      </c>
      <c r="F35" s="3" t="s">
        <v>549</v>
      </c>
      <c r="G35" s="3" t="s">
        <v>550</v>
      </c>
      <c r="H35" s="3" t="s">
        <v>23</v>
      </c>
      <c r="I35" s="3" t="s">
        <v>365</v>
      </c>
    </row>
    <row r="36" spans="1:9">
      <c r="A36" s="3" t="s">
        <v>218</v>
      </c>
      <c r="B36" s="3" t="s">
        <v>385</v>
      </c>
      <c r="C36" s="3" t="s">
        <v>551</v>
      </c>
      <c r="D36" s="3" t="s">
        <v>552</v>
      </c>
      <c r="E36" s="3" t="s">
        <v>553</v>
      </c>
      <c r="F36" s="3" t="s">
        <v>554</v>
      </c>
      <c r="G36" s="3" t="s">
        <v>555</v>
      </c>
      <c r="H36" s="3" t="s">
        <v>23</v>
      </c>
      <c r="I36" s="3" t="s">
        <v>389</v>
      </c>
    </row>
    <row r="37" spans="1:9">
      <c r="A37" s="3" t="s">
        <v>302</v>
      </c>
      <c r="B37" s="3" t="s">
        <v>393</v>
      </c>
      <c r="C37" s="3" t="s">
        <v>556</v>
      </c>
      <c r="D37" s="3" t="s">
        <v>557</v>
      </c>
      <c r="E37" s="3" t="s">
        <v>558</v>
      </c>
      <c r="F37" s="3" t="s">
        <v>559</v>
      </c>
      <c r="G37" s="3" t="s">
        <v>560</v>
      </c>
      <c r="H37" s="3" t="s">
        <v>37</v>
      </c>
      <c r="I37" s="3" t="s">
        <v>397</v>
      </c>
    </row>
    <row r="38" spans="1:9">
      <c r="A38" s="3" t="s">
        <v>231</v>
      </c>
      <c r="B38" s="3" t="s">
        <v>402</v>
      </c>
      <c r="C38" s="3" t="s">
        <v>561</v>
      </c>
      <c r="D38" s="3" t="s">
        <v>562</v>
      </c>
      <c r="E38" s="3" t="s">
        <v>563</v>
      </c>
      <c r="F38" s="3" t="s">
        <v>564</v>
      </c>
      <c r="G38" s="3" t="s">
        <v>565</v>
      </c>
      <c r="H38" s="3" t="s">
        <v>126</v>
      </c>
      <c r="I38" s="3" t="s">
        <v>406</v>
      </c>
    </row>
    <row r="39" spans="1:9">
      <c r="A39" s="3" t="s">
        <v>409</v>
      </c>
      <c r="B39" s="3" t="s">
        <v>410</v>
      </c>
      <c r="C39" s="3" t="s">
        <v>566</v>
      </c>
      <c r="D39" s="3" t="s">
        <v>567</v>
      </c>
      <c r="E39" s="3" t="s">
        <v>534</v>
      </c>
      <c r="F39" s="3" t="s">
        <v>568</v>
      </c>
      <c r="G39" s="3" t="s">
        <v>569</v>
      </c>
      <c r="H39" s="3" t="s">
        <v>23</v>
      </c>
      <c r="I39" s="3" t="s">
        <v>414</v>
      </c>
    </row>
    <row r="42" spans="1:9">
      <c r="A42" s="19" t="s">
        <v>570</v>
      </c>
      <c r="B42" s="19"/>
      <c r="C42" s="19"/>
      <c r="D42" s="19"/>
      <c r="E42" s="19"/>
    </row>
    <row r="43" spans="1:9">
      <c r="A43" s="13" t="s">
        <v>571</v>
      </c>
      <c r="B43" s="13" t="s">
        <v>572</v>
      </c>
      <c r="C43" s="13" t="s">
        <v>573</v>
      </c>
      <c r="D43" s="13" t="s">
        <v>574</v>
      </c>
      <c r="E43" s="13" t="s">
        <v>575</v>
      </c>
    </row>
    <row r="44" spans="1:9">
      <c r="A44" s="3">
        <v>1</v>
      </c>
      <c r="B44" s="3" t="s">
        <v>576</v>
      </c>
      <c r="C44" s="3" t="s">
        <v>577</v>
      </c>
      <c r="D44" s="3" t="s">
        <v>578</v>
      </c>
      <c r="E44" s="14">
        <v>46238</v>
      </c>
    </row>
    <row r="45" spans="1:9">
      <c r="A45" s="3">
        <v>2</v>
      </c>
      <c r="B45" s="3" t="s">
        <v>579</v>
      </c>
      <c r="C45" s="3" t="s">
        <v>580</v>
      </c>
      <c r="D45" s="3" t="s">
        <v>581</v>
      </c>
      <c r="E45" s="14">
        <v>46238</v>
      </c>
    </row>
    <row r="46" spans="1:9">
      <c r="A46" s="3">
        <v>3</v>
      </c>
      <c r="B46" s="3" t="s">
        <v>582</v>
      </c>
      <c r="C46" s="3" t="s">
        <v>583</v>
      </c>
      <c r="D46" s="3" t="s">
        <v>584</v>
      </c>
      <c r="E46" s="14">
        <v>46238</v>
      </c>
    </row>
    <row r="47" spans="1:9">
      <c r="A47" s="3">
        <v>4</v>
      </c>
      <c r="B47" s="3" t="s">
        <v>585</v>
      </c>
      <c r="C47" s="3" t="s">
        <v>586</v>
      </c>
      <c r="D47" s="3" t="s">
        <v>587</v>
      </c>
      <c r="E47" s="14">
        <v>46238</v>
      </c>
    </row>
    <row r="48" spans="1:9">
      <c r="A48" s="3">
        <v>5</v>
      </c>
      <c r="B48" s="3" t="s">
        <v>588</v>
      </c>
      <c r="C48" s="3" t="s">
        <v>589</v>
      </c>
      <c r="D48" s="3" t="s">
        <v>590</v>
      </c>
      <c r="E48" s="14">
        <v>46238</v>
      </c>
    </row>
    <row r="49" spans="1:9">
      <c r="A49" s="3">
        <v>6</v>
      </c>
      <c r="B49" s="3" t="s">
        <v>591</v>
      </c>
      <c r="C49" s="3" t="s">
        <v>592</v>
      </c>
      <c r="D49" s="3" t="s">
        <v>593</v>
      </c>
      <c r="E49" s="14">
        <v>46238</v>
      </c>
    </row>
    <row r="50" spans="1:9">
      <c r="A50" s="3">
        <v>7</v>
      </c>
      <c r="B50" s="3" t="s">
        <v>594</v>
      </c>
      <c r="C50" s="3" t="s">
        <v>595</v>
      </c>
      <c r="D50" s="3" t="s">
        <v>596</v>
      </c>
      <c r="E50" s="14">
        <v>46238</v>
      </c>
    </row>
    <row r="51" spans="1:9">
      <c r="A51" s="3">
        <v>8</v>
      </c>
      <c r="B51" s="3" t="s">
        <v>597</v>
      </c>
      <c r="C51" s="3" t="s">
        <v>598</v>
      </c>
      <c r="D51" s="3" t="s">
        <v>599</v>
      </c>
      <c r="E51" s="14">
        <v>46238</v>
      </c>
    </row>
    <row r="52" spans="1:9">
      <c r="A52" s="3">
        <v>9</v>
      </c>
      <c r="B52" s="3" t="s">
        <v>600</v>
      </c>
      <c r="C52" s="3" t="s">
        <v>601</v>
      </c>
      <c r="D52" s="3" t="s">
        <v>602</v>
      </c>
      <c r="E52" s="14">
        <v>46238</v>
      </c>
    </row>
    <row r="53" spans="1:9">
      <c r="A53" s="3">
        <v>10</v>
      </c>
      <c r="B53" s="3" t="s">
        <v>603</v>
      </c>
      <c r="C53" s="3" t="s">
        <v>604</v>
      </c>
      <c r="D53" s="3" t="s">
        <v>605</v>
      </c>
      <c r="E53" s="14">
        <v>46238</v>
      </c>
    </row>
    <row r="54" spans="1:9">
      <c r="A54" s="3">
        <v>11</v>
      </c>
      <c r="B54" s="3" t="s">
        <v>606</v>
      </c>
      <c r="C54" s="3" t="s">
        <v>607</v>
      </c>
      <c r="D54" s="3" t="s">
        <v>608</v>
      </c>
      <c r="E54" s="14">
        <v>46238</v>
      </c>
    </row>
    <row r="55" spans="1:9">
      <c r="A55" s="3">
        <v>12</v>
      </c>
      <c r="B55" s="3" t="s">
        <v>609</v>
      </c>
      <c r="C55" s="3" t="s">
        <v>610</v>
      </c>
      <c r="D55" s="3" t="s">
        <v>611</v>
      </c>
      <c r="E55" s="14">
        <v>46238</v>
      </c>
    </row>
    <row r="56" spans="1:9">
      <c r="A56" s="3">
        <v>13</v>
      </c>
      <c r="B56" s="3" t="s">
        <v>612</v>
      </c>
      <c r="C56" s="3" t="s">
        <v>613</v>
      </c>
      <c r="D56" s="3" t="s">
        <v>614</v>
      </c>
      <c r="E56" s="14">
        <v>46238</v>
      </c>
    </row>
    <row r="57" spans="1:9">
      <c r="A57" s="3">
        <v>14</v>
      </c>
      <c r="B57" s="3" t="s">
        <v>615</v>
      </c>
      <c r="C57" s="3" t="s">
        <v>616</v>
      </c>
      <c r="D57" s="3" t="s">
        <v>617</v>
      </c>
      <c r="E57" s="14">
        <v>46238</v>
      </c>
    </row>
    <row r="58" spans="1:9">
      <c r="A58" s="3">
        <v>15</v>
      </c>
      <c r="B58" s="3" t="s">
        <v>618</v>
      </c>
      <c r="C58" s="3" t="s">
        <v>619</v>
      </c>
      <c r="D58" s="3" t="s">
        <v>620</v>
      </c>
      <c r="E58" s="14">
        <v>46238</v>
      </c>
    </row>
    <row r="61" spans="1:9" ht="42" customHeight="1">
      <c r="A61" s="20" t="s">
        <v>621</v>
      </c>
      <c r="B61" s="20"/>
      <c r="C61" s="20"/>
      <c r="D61" s="20"/>
      <c r="E61" s="20"/>
      <c r="F61" s="20"/>
      <c r="G61" s="20"/>
      <c r="H61" s="20"/>
      <c r="I61" s="20"/>
    </row>
  </sheetData>
  <mergeCells count="4">
    <mergeCell ref="A1:I1"/>
    <mergeCell ref="D3:F3"/>
    <mergeCell ref="A42:E42"/>
    <mergeCell ref="A61:I61"/>
  </mergeCells>
  <conditionalFormatting sqref="F8:F10">
    <cfRule type="expression" dxfId="4" priority="1">
      <formula>F8="PASS"</formula>
    </cfRule>
    <cfRule type="expression" dxfId="3" priority="2">
      <formula>F8="CHECK"</formula>
    </cfRule>
  </conditionalFormatting>
  <conditionalFormatting sqref="H15:H39">
    <cfRule type="expression" dxfId="2" priority="3">
      <formula>$H15="High"</formula>
    </cfRule>
    <cfRule type="expression" dxfId="1" priority="4">
      <formula>$H15="Medium"</formula>
    </cfRule>
    <cfRule type="expression" dxfId="0" priority="5">
      <formula>$H15="Low"</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ED5AD9BB97D049ADB512DB1F7F6070" ma:contentTypeVersion="3" ma:contentTypeDescription="Creare un nuovo documento." ma:contentTypeScope="" ma:versionID="dae35bac2a88f89b57852ae213d06c89">
  <xsd:schema xmlns:xsd="http://www.w3.org/2001/XMLSchema" xmlns:xs="http://www.w3.org/2001/XMLSchema" xmlns:p="http://schemas.microsoft.com/office/2006/metadata/properties" xmlns:ns2="ec708e34-5345-4c08-8394-32031f2e3e25" targetNamespace="http://schemas.microsoft.com/office/2006/metadata/properties" ma:root="true" ma:fieldsID="ae41bda60124428ce7cda7d525e9e554" ns2:_="">
    <xsd:import namespace="ec708e34-5345-4c08-8394-32031f2e3e2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708e34-5345-4c08-8394-32031f2e3e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CBF755-688C-49BB-8B18-5519F763779A}"/>
</file>

<file path=customXml/itemProps2.xml><?xml version="1.0" encoding="utf-8"?>
<ds:datastoreItem xmlns:ds="http://schemas.openxmlformats.org/officeDocument/2006/customXml" ds:itemID="{B3F10693-92DF-4B6C-8C08-A609FEAD6EA3}"/>
</file>

<file path=customXml/itemProps3.xml><?xml version="1.0" encoding="utf-8"?>
<ds:datastoreItem xmlns:ds="http://schemas.openxmlformats.org/officeDocument/2006/customXml" ds:itemID="{EEAEDDEB-22A3-46F3-90BB-6DF8978940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Luciana Brasil Rebelo Dos Santos</cp:lastModifiedBy>
  <cp:revision/>
  <dcterms:created xsi:type="dcterms:W3CDTF">2026-08-04T15:16:46Z</dcterms:created>
  <dcterms:modified xsi:type="dcterms:W3CDTF">2026-08-04T15:17:02Z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0x010100AAED5AD9BB97D049ADB512DB1F7F6070</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